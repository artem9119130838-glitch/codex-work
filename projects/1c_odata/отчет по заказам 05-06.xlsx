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x_Shared\projects\1c_odata\"/>
    </mc:Choice>
  </mc:AlternateContent>
  <xr:revisionPtr revIDLastSave="0" documentId="13_ncr:1_{91AA7108-D731-4D65-8BD9-EC60F2BB5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" i="1" l="1"/>
  <c r="I35" i="1"/>
  <c r="J35" i="1"/>
  <c r="H35" i="1"/>
  <c r="L36" i="1"/>
  <c r="J34" i="1"/>
  <c r="L35" i="1" l="1"/>
  <c r="L37" i="1" s="1"/>
</calcChain>
</file>

<file path=xl/sharedStrings.xml><?xml version="1.0" encoding="utf-8"?>
<sst xmlns="http://schemas.openxmlformats.org/spreadsheetml/2006/main" count="76" uniqueCount="73">
  <si>
    <t>Менеджер</t>
  </si>
  <si>
    <t>Выручка факт</t>
  </si>
  <si>
    <t>Расходы факт</t>
  </si>
  <si>
    <t>Налоги</t>
  </si>
  <si>
    <t>Прибыль факт</t>
  </si>
  <si>
    <t>Заказ покупателя</t>
  </si>
  <si>
    <t>Покупатель</t>
  </si>
  <si>
    <t>Сауле Бестова</t>
  </si>
  <si>
    <t>Заказ покупателя 100 от 10.06.2026</t>
  </si>
  <si>
    <t>МЗСС АО</t>
  </si>
  <si>
    <t>Заказ покупателя 22 от 26.01.2026</t>
  </si>
  <si>
    <t>НПЦАП АО</t>
  </si>
  <si>
    <t>Заказ покупателя 61 от 16.03.2026</t>
  </si>
  <si>
    <t>Заказ покупателя 82 от 14.05.2026</t>
  </si>
  <si>
    <t>НИИ НЕПТУН АО</t>
  </si>
  <si>
    <t>Заказ покупателя 77 от 24.04.2026</t>
  </si>
  <si>
    <t>КЭМЗ ПАО</t>
  </si>
  <si>
    <t>Артем</t>
  </si>
  <si>
    <t>Заказ покупателя 72 от 24.04.2026</t>
  </si>
  <si>
    <t>КОРДИАНТ АО</t>
  </si>
  <si>
    <t>Заказ покупателя 62 от 17.03.2026</t>
  </si>
  <si>
    <t>ЛИТЕРАВТО ООО</t>
  </si>
  <si>
    <t>ПО МЕТАЛЛИСТ ООО</t>
  </si>
  <si>
    <t>Заказ покупателя 23 от 18.11.2025</t>
  </si>
  <si>
    <t>СПЕЦМАШПРОМ ООО</t>
  </si>
  <si>
    <t>Заказ покупателя 75 от 23.04.2026</t>
  </si>
  <si>
    <t>ЛОГИСТИКТРАНС ООО</t>
  </si>
  <si>
    <t>Заказ покупателя 11 от 11.02.2026</t>
  </si>
  <si>
    <t>ЛЕБЕДЯНЬМОЛОКО ООО</t>
  </si>
  <si>
    <t>Заказ покупателя 35 от 05.02.2026</t>
  </si>
  <si>
    <t>МПК НОРИЛЬСКИЙ ООО</t>
  </si>
  <si>
    <t>Заказ покупателя 11 от 03.04.2026</t>
  </si>
  <si>
    <t>АЭМ-ТЕХНОЛОГИИ АО</t>
  </si>
  <si>
    <t>Заказ покупателя 12 от 03.04.2026</t>
  </si>
  <si>
    <t>АЛРОСА (ПАО) АК</t>
  </si>
  <si>
    <t>Заказ покупателя 83 от 20.05.2026</t>
  </si>
  <si>
    <t>МЕХАНИЧЕСКИЙ ЗАВОД АО</t>
  </si>
  <si>
    <t>Заказ покупателя 80 от 06.05.2026</t>
  </si>
  <si>
    <t>СПБ ЗПС ООО</t>
  </si>
  <si>
    <t>Заказ покупателя 99 от 30.06.2026</t>
  </si>
  <si>
    <t>ВИНСЕК ООО</t>
  </si>
  <si>
    <t>ИП Павлова Анжелика Алексеевна</t>
  </si>
  <si>
    <t>Заказ покупателя 32 от 02.04.2026</t>
  </si>
  <si>
    <t>СИБЭНЕРГОМАШ - БКЗ ООО</t>
  </si>
  <si>
    <t>Заказ покупателя 66 от 31.03.2026</t>
  </si>
  <si>
    <t>ЭНЕРГИЯ ПАО</t>
  </si>
  <si>
    <t>Заказ покупателя 56 от 09.03.2026</t>
  </si>
  <si>
    <t>МЕТАЛЛ-ЗАВОД ООО</t>
  </si>
  <si>
    <t>Заказ покупателя 70 от 14.04.2026</t>
  </si>
  <si>
    <t>Заказ покупателя 88 от 25.05.2026</t>
  </si>
  <si>
    <t>БЖТ ООО</t>
  </si>
  <si>
    <t>Заказ покупателя 81 от 06.05.2026</t>
  </si>
  <si>
    <t>ТЭМП ООО</t>
  </si>
  <si>
    <t>Заказ покупателя 74 от 22.04.2026</t>
  </si>
  <si>
    <t>АМИ-ЭНЕРГО ООО</t>
  </si>
  <si>
    <t>Заказ покупателя 65 от 25.03.2026</t>
  </si>
  <si>
    <t>БЕЛГОРОДСКИЙ КОНСЕРВНЫЙ КОМБИНАТ ООО</t>
  </si>
  <si>
    <t>Заказ покупателя 10 от 25.03.2026</t>
  </si>
  <si>
    <t>ЦКБ ФОТОН АО</t>
  </si>
  <si>
    <t>Заказ покупателя 86 от 21.05.2026</t>
  </si>
  <si>
    <t>Азат</t>
  </si>
  <si>
    <t>Сауле</t>
  </si>
  <si>
    <t>Ван</t>
  </si>
  <si>
    <t>Лиень</t>
  </si>
  <si>
    <t>Премии</t>
  </si>
  <si>
    <t>Рент, %</t>
  </si>
  <si>
    <t>Итого начислено</t>
  </si>
  <si>
    <t>Уже выплачено</t>
  </si>
  <si>
    <t>Доначислил Азат</t>
  </si>
  <si>
    <t>Максимум Итого:</t>
  </si>
  <si>
    <t>Заказ покупателя 332</t>
  </si>
  <si>
    <t>Заказ покупателя 4</t>
  </si>
  <si>
    <t>Осталось начислить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</si>
</sst>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₽&quot;;[Red]\-#,##0.00\ &quot;₽&quot;"/>
    <numFmt numFmtId="164" formatCode="#,##0.0000"/>
    <numFmt numFmtId="165" formatCode="0&quot;%&quot;"/>
    <numFmt numFmtId="166" formatCode="#,##0.000"/>
    <numFmt numFmtId="167" formatCode="0.000"/>
    <numFmt numFmtId="168" formatCode="#,##0.0"/>
    <numFmt numFmtId="169" formatCode="0.0000"/>
    <numFmt numFmtId="170" formatCode="#,##0.00\ &quot;₽&quot;"/>
  </numFmts>
  <fonts count="6" x14ac:knownFonts="1">
    <font>
      <sz val="8"/>
      <name val="Arial"/>
    </font>
    <font>
      <b/>
      <sz val="8"/>
      <name val="Arial"/>
    </font>
    <font>
      <b/>
      <sz val="8"/>
      <color rgb="FFFF0000"/>
      <name val="Arial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2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0" fontId="3" fillId="0" borderId="0" xfId="0" applyFont="1"/>
    <xf numFmtId="164" fontId="3" fillId="0" borderId="1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70" fontId="0" fillId="0" borderId="4" xfId="0" applyNumberFormat="1" applyBorder="1"/>
    <xf numFmtId="170" fontId="0" fillId="0" borderId="0" xfId="0" applyNumberFormat="1"/>
    <xf numFmtId="170" fontId="3" fillId="0" borderId="0" xfId="0" applyNumberFormat="1" applyFont="1"/>
    <xf numFmtId="170" fontId="3" fillId="3" borderId="4" xfId="0" applyNumberFormat="1" applyFont="1" applyFill="1" applyBorder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4" fillId="0" borderId="1" xfId="0" applyFont="1" applyBorder="1" applyAlignment="1">
      <alignment horizontal="left" vertical="top" wrapText="1" indent="2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170" fontId="0" fillId="0" borderId="4" xfId="0" applyNumberFormat="1" applyBorder="1" applyProtection="1">
      <protection locked="0"/>
    </xf>
    <xf numFmtId="170" fontId="3" fillId="0" borderId="4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8" fontId="3" fillId="4" borderId="4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37"/>
  <sheetViews>
    <sheetView tabSelected="1" workbookViewId="0">
      <pane ySplit="2" topLeftCell="A8" activePane="bottomLeft" state="frozen"/>
      <selection pane="bottomLeft" activeCell="K33" sqref="K33"/>
    </sheetView>
  </sheetViews>
  <sheetFormatPr defaultColWidth="10.42578125" defaultRowHeight="11.4" customHeight="1" outlineLevelRow="1" x14ac:dyDescent="0.2"/>
  <cols>
    <col min="1" max="1" width="33.28515625" style="1" customWidth="1"/>
    <col min="2" max="2" width="43.42578125" style="1" customWidth="1"/>
    <col min="3" max="4" width="16.140625" style="1" customWidth="1"/>
    <col min="5" max="5" width="15.42578125" style="1" customWidth="1"/>
    <col min="6" max="6" width="15" style="1" customWidth="1"/>
    <col min="7" max="7" width="16" style="1" customWidth="1"/>
    <col min="8" max="8" width="11.7109375" bestFit="1" customWidth="1"/>
    <col min="9" max="9" width="10.7109375" bestFit="1" customWidth="1"/>
    <col min="10" max="11" width="10.5703125" bestFit="1" customWidth="1"/>
    <col min="12" max="12" width="12.28515625" bestFit="1" customWidth="1"/>
  </cols>
  <sheetData>
    <row r="1" spans="1:12" s="20" customFormat="1" ht="13.05" customHeight="1" x14ac:dyDescent="0.2">
      <c r="A1" s="39" t="s">
        <v>0</v>
      </c>
      <c r="B1" s="39"/>
      <c r="C1" s="40" t="s">
        <v>1</v>
      </c>
      <c r="D1" s="40" t="s">
        <v>2</v>
      </c>
      <c r="E1" s="40" t="s">
        <v>3</v>
      </c>
      <c r="F1" s="42" t="s">
        <v>4</v>
      </c>
      <c r="G1" s="36" t="s">
        <v>65</v>
      </c>
      <c r="H1" s="35" t="s">
        <v>64</v>
      </c>
      <c r="I1" s="35"/>
      <c r="J1" s="35"/>
      <c r="K1" s="35"/>
    </row>
    <row r="2" spans="1:12" s="20" customFormat="1" ht="13.05" customHeight="1" x14ac:dyDescent="0.2">
      <c r="A2" s="21" t="s">
        <v>5</v>
      </c>
      <c r="B2" s="21" t="s">
        <v>6</v>
      </c>
      <c r="C2" s="41"/>
      <c r="D2" s="41"/>
      <c r="E2" s="41"/>
      <c r="F2" s="43"/>
      <c r="G2" s="37"/>
      <c r="H2" s="30" t="s">
        <v>60</v>
      </c>
      <c r="I2" s="30" t="s">
        <v>61</v>
      </c>
      <c r="J2" s="30" t="s">
        <v>62</v>
      </c>
      <c r="K2" s="30" t="s">
        <v>63</v>
      </c>
    </row>
    <row r="3" spans="1:12" s="15" customFormat="1" ht="10.95" customHeight="1" x14ac:dyDescent="0.2">
      <c r="A3" s="38" t="s">
        <v>7</v>
      </c>
      <c r="B3" s="38"/>
      <c r="C3" s="12">
        <v>3182023.39</v>
      </c>
      <c r="D3" s="12">
        <v>2611897.85</v>
      </c>
      <c r="E3" s="16">
        <v>159101.16949999999</v>
      </c>
      <c r="F3" s="14">
        <v>411024.37</v>
      </c>
      <c r="G3" s="17">
        <v>13</v>
      </c>
      <c r="H3" s="31"/>
      <c r="I3" s="31"/>
      <c r="J3" s="31"/>
      <c r="K3" s="31"/>
    </row>
    <row r="4" spans="1:12" ht="22.95" customHeight="1" outlineLevel="1" x14ac:dyDescent="0.2">
      <c r="A4" s="6" t="s">
        <v>8</v>
      </c>
      <c r="B4" s="2" t="s">
        <v>9</v>
      </c>
      <c r="C4" s="3">
        <v>591256.89</v>
      </c>
      <c r="D4" s="3">
        <v>579714.07999999996</v>
      </c>
      <c r="E4" s="4">
        <v>29562.844499999999</v>
      </c>
      <c r="F4" s="5">
        <v>-18020.03</v>
      </c>
      <c r="G4" s="18">
        <v>-3</v>
      </c>
      <c r="H4" s="32"/>
      <c r="I4" s="32"/>
      <c r="J4" s="32"/>
      <c r="K4" s="32"/>
    </row>
    <row r="5" spans="1:12" ht="10.95" customHeight="1" outlineLevel="1" x14ac:dyDescent="0.2">
      <c r="A5" s="6" t="s">
        <v>10</v>
      </c>
      <c r="B5" s="2" t="s">
        <v>11</v>
      </c>
      <c r="C5" s="3">
        <v>1579000</v>
      </c>
      <c r="D5" s="3">
        <v>1366998.58</v>
      </c>
      <c r="E5" s="7">
        <v>78950</v>
      </c>
      <c r="F5" s="5">
        <v>133051.42000000001</v>
      </c>
      <c r="G5" s="19">
        <v>8</v>
      </c>
      <c r="H5" s="33"/>
      <c r="I5" s="33"/>
      <c r="J5" s="33"/>
      <c r="K5" s="33"/>
      <c r="L5" s="24"/>
    </row>
    <row r="6" spans="1:12" ht="10.95" customHeight="1" outlineLevel="1" x14ac:dyDescent="0.2">
      <c r="A6" s="6" t="s">
        <v>12</v>
      </c>
      <c r="B6" s="2" t="s">
        <v>11</v>
      </c>
      <c r="C6" s="3">
        <v>490000</v>
      </c>
      <c r="D6" s="3">
        <v>352784.32</v>
      </c>
      <c r="E6" s="7">
        <v>24500</v>
      </c>
      <c r="F6" s="5">
        <v>112715.68</v>
      </c>
      <c r="G6" s="19">
        <v>23</v>
      </c>
      <c r="H6" s="33"/>
      <c r="I6" s="33"/>
      <c r="J6" s="33"/>
      <c r="K6" s="33"/>
      <c r="L6" s="24"/>
    </row>
    <row r="7" spans="1:12" ht="10.95" customHeight="1" outlineLevel="1" x14ac:dyDescent="0.2">
      <c r="A7" s="6" t="s">
        <v>13</v>
      </c>
      <c r="B7" s="2" t="s">
        <v>14</v>
      </c>
      <c r="C7" s="3">
        <v>308766.5</v>
      </c>
      <c r="D7" s="3">
        <v>215480.55</v>
      </c>
      <c r="E7" s="8">
        <v>15438.325000000001</v>
      </c>
      <c r="F7" s="5">
        <v>77847.63</v>
      </c>
      <c r="G7" s="19">
        <v>25</v>
      </c>
      <c r="H7" s="33"/>
      <c r="I7" s="33"/>
      <c r="J7" s="33"/>
      <c r="K7" s="33"/>
      <c r="L7" s="24"/>
    </row>
    <row r="8" spans="1:12" ht="10.95" customHeight="1" outlineLevel="1" x14ac:dyDescent="0.2">
      <c r="A8" s="6" t="s">
        <v>15</v>
      </c>
      <c r="B8" s="2" t="s">
        <v>16</v>
      </c>
      <c r="C8" s="3">
        <v>213000</v>
      </c>
      <c r="D8" s="3">
        <v>96920.320000000007</v>
      </c>
      <c r="E8" s="7">
        <v>10650</v>
      </c>
      <c r="F8" s="5">
        <v>105429.68</v>
      </c>
      <c r="G8" s="19">
        <v>49</v>
      </c>
      <c r="H8" s="33"/>
      <c r="I8" s="33"/>
      <c r="J8" s="33"/>
      <c r="K8" s="33"/>
      <c r="L8" s="24"/>
    </row>
    <row r="9" spans="1:12" s="15" customFormat="1" ht="10.95" customHeight="1" x14ac:dyDescent="0.2">
      <c r="A9" s="38" t="s">
        <v>17</v>
      </c>
      <c r="B9" s="38"/>
      <c r="C9" s="12">
        <v>10166070.98</v>
      </c>
      <c r="D9" s="12">
        <v>7749242.8300000001</v>
      </c>
      <c r="E9" s="13">
        <v>508303.549</v>
      </c>
      <c r="F9" s="14">
        <v>1908524.6</v>
      </c>
      <c r="G9" s="17">
        <v>19</v>
      </c>
      <c r="H9" s="34"/>
      <c r="I9" s="34"/>
      <c r="J9" s="34"/>
      <c r="K9" s="34"/>
      <c r="L9" s="25"/>
    </row>
    <row r="10" spans="1:12" ht="10.95" customHeight="1" outlineLevel="1" x14ac:dyDescent="0.2">
      <c r="A10" s="6" t="s">
        <v>18</v>
      </c>
      <c r="B10" s="2" t="s">
        <v>19</v>
      </c>
      <c r="C10" s="3">
        <v>16669.87</v>
      </c>
      <c r="D10" s="3">
        <v>24128.67</v>
      </c>
      <c r="E10" s="11">
        <v>833.49350000000004</v>
      </c>
      <c r="F10" s="5">
        <v>-8292.2900000000009</v>
      </c>
      <c r="G10" s="18">
        <v>-50</v>
      </c>
      <c r="H10" s="33"/>
      <c r="I10" s="33"/>
      <c r="J10" s="33"/>
      <c r="K10" s="33"/>
      <c r="L10" s="24"/>
    </row>
    <row r="11" spans="1:12" ht="10.95" customHeight="1" outlineLevel="1" x14ac:dyDescent="0.2">
      <c r="A11" s="6" t="s">
        <v>35</v>
      </c>
      <c r="B11" s="2" t="s">
        <v>36</v>
      </c>
      <c r="C11" s="3">
        <v>180197.01</v>
      </c>
      <c r="D11" s="3">
        <v>165996.94</v>
      </c>
      <c r="E11" s="4">
        <v>9009.8505000000005</v>
      </c>
      <c r="F11" s="5">
        <v>5190.22</v>
      </c>
      <c r="G11" s="19">
        <v>3</v>
      </c>
      <c r="H11" s="33"/>
      <c r="I11" s="33"/>
      <c r="J11" s="33"/>
      <c r="K11" s="33"/>
      <c r="L11" s="24"/>
    </row>
    <row r="12" spans="1:12" ht="10.95" customHeight="1" outlineLevel="1" x14ac:dyDescent="0.2">
      <c r="A12" s="6" t="s">
        <v>20</v>
      </c>
      <c r="B12" s="2" t="s">
        <v>21</v>
      </c>
      <c r="C12" s="3">
        <v>603119.4</v>
      </c>
      <c r="D12" s="3">
        <v>523113.05</v>
      </c>
      <c r="E12" s="3">
        <v>30155.97</v>
      </c>
      <c r="F12" s="5">
        <v>49850.38</v>
      </c>
      <c r="G12" s="19">
        <v>8</v>
      </c>
      <c r="H12" s="33"/>
      <c r="I12" s="33"/>
      <c r="J12" s="33"/>
      <c r="K12" s="33"/>
      <c r="L12" s="24"/>
    </row>
    <row r="13" spans="1:12" ht="10.95" customHeight="1" outlineLevel="1" x14ac:dyDescent="0.2">
      <c r="A13" s="29" t="s">
        <v>71</v>
      </c>
      <c r="B13" s="2" t="s">
        <v>22</v>
      </c>
      <c r="C13" s="3">
        <v>250374.92</v>
      </c>
      <c r="D13" s="3">
        <v>209483.31</v>
      </c>
      <c r="E13" s="8">
        <v>12518.745999999999</v>
      </c>
      <c r="F13" s="5">
        <v>28372.86</v>
      </c>
      <c r="G13" s="19">
        <v>11</v>
      </c>
      <c r="H13" s="33"/>
      <c r="I13" s="33"/>
      <c r="J13" s="33"/>
      <c r="K13" s="33"/>
      <c r="L13" s="24"/>
    </row>
    <row r="14" spans="1:12" ht="10.95" customHeight="1" outlineLevel="1" x14ac:dyDescent="0.2">
      <c r="A14" s="6" t="s">
        <v>23</v>
      </c>
      <c r="B14" s="2" t="s">
        <v>24</v>
      </c>
      <c r="C14" s="3">
        <v>4783397.01</v>
      </c>
      <c r="D14" s="3">
        <v>3916929.08</v>
      </c>
      <c r="E14" s="4">
        <v>239169.8505</v>
      </c>
      <c r="F14" s="5">
        <v>627298.07999999996</v>
      </c>
      <c r="G14" s="19">
        <v>13</v>
      </c>
      <c r="H14" s="33"/>
      <c r="I14" s="33"/>
      <c r="J14" s="33"/>
      <c r="K14" s="33"/>
      <c r="L14" s="24"/>
    </row>
    <row r="15" spans="1:12" ht="10.95" customHeight="1" outlineLevel="1" x14ac:dyDescent="0.2">
      <c r="A15" s="6" t="s">
        <v>25</v>
      </c>
      <c r="B15" s="2" t="s">
        <v>26</v>
      </c>
      <c r="C15" s="3">
        <v>482559.1</v>
      </c>
      <c r="D15" s="3">
        <v>394582.16</v>
      </c>
      <c r="E15" s="8">
        <v>24127.955000000002</v>
      </c>
      <c r="F15" s="5">
        <v>63848.99</v>
      </c>
      <c r="G15" s="19">
        <v>13</v>
      </c>
      <c r="H15" s="33"/>
      <c r="I15" s="33"/>
      <c r="J15" s="33"/>
      <c r="K15" s="33"/>
      <c r="L15" s="24"/>
    </row>
    <row r="16" spans="1:12" ht="10.95" customHeight="1" outlineLevel="1" x14ac:dyDescent="0.2">
      <c r="A16" s="6" t="s">
        <v>27</v>
      </c>
      <c r="B16" s="2" t="s">
        <v>28</v>
      </c>
      <c r="C16" s="3">
        <v>1101019.7</v>
      </c>
      <c r="D16" s="3">
        <v>851026.05</v>
      </c>
      <c r="E16" s="8">
        <v>55050.985000000001</v>
      </c>
      <c r="F16" s="5">
        <v>194942.67</v>
      </c>
      <c r="G16" s="19">
        <v>18</v>
      </c>
      <c r="H16" s="33"/>
      <c r="I16" s="33"/>
      <c r="J16" s="33"/>
      <c r="K16" s="33"/>
      <c r="L16" s="24"/>
    </row>
    <row r="17" spans="1:12" ht="10.95" customHeight="1" outlineLevel="1" x14ac:dyDescent="0.2">
      <c r="A17" s="6" t="s">
        <v>29</v>
      </c>
      <c r="B17" s="2" t="s">
        <v>30</v>
      </c>
      <c r="C17" s="3">
        <v>294019.7</v>
      </c>
      <c r="D17" s="3">
        <v>227233.35</v>
      </c>
      <c r="E17" s="8">
        <v>14700.985000000001</v>
      </c>
      <c r="F17" s="5">
        <v>52085.37</v>
      </c>
      <c r="G17" s="19">
        <v>18</v>
      </c>
      <c r="H17" s="33"/>
      <c r="I17" s="33"/>
      <c r="J17" s="33"/>
      <c r="K17" s="33"/>
      <c r="L17" s="24"/>
    </row>
    <row r="18" spans="1:12" ht="10.95" customHeight="1" outlineLevel="1" x14ac:dyDescent="0.2">
      <c r="A18" s="6" t="s">
        <v>31</v>
      </c>
      <c r="B18" s="2" t="s">
        <v>32</v>
      </c>
      <c r="C18" s="3">
        <v>99800</v>
      </c>
      <c r="D18" s="3">
        <v>73138.570000000007</v>
      </c>
      <c r="E18" s="7">
        <v>4990</v>
      </c>
      <c r="F18" s="5">
        <v>21671.43</v>
      </c>
      <c r="G18" s="19">
        <v>22</v>
      </c>
      <c r="H18" s="33"/>
      <c r="I18" s="33"/>
      <c r="J18" s="33"/>
      <c r="K18" s="33"/>
      <c r="L18" s="24"/>
    </row>
    <row r="19" spans="1:12" ht="10.95" customHeight="1" outlineLevel="1" x14ac:dyDescent="0.2">
      <c r="A19" s="6" t="s">
        <v>37</v>
      </c>
      <c r="B19" s="2" t="s">
        <v>38</v>
      </c>
      <c r="C19" s="3">
        <v>500780.67</v>
      </c>
      <c r="D19" s="3">
        <v>354408.97</v>
      </c>
      <c r="E19" s="4">
        <v>25039.033500000001</v>
      </c>
      <c r="F19" s="5">
        <v>121332.67</v>
      </c>
      <c r="G19" s="19">
        <v>24</v>
      </c>
      <c r="H19" s="33"/>
      <c r="I19" s="33"/>
      <c r="J19" s="33"/>
      <c r="K19" s="33"/>
      <c r="L19" s="24"/>
    </row>
    <row r="20" spans="1:12" ht="10.95" customHeight="1" outlineLevel="1" x14ac:dyDescent="0.2">
      <c r="A20" s="6" t="s">
        <v>33</v>
      </c>
      <c r="B20" s="2" t="s">
        <v>34</v>
      </c>
      <c r="C20" s="3">
        <v>92479.8</v>
      </c>
      <c r="D20" s="3">
        <v>63103.08</v>
      </c>
      <c r="E20" s="3">
        <v>4623.99</v>
      </c>
      <c r="F20" s="5">
        <v>24752.73</v>
      </c>
      <c r="G20" s="19">
        <v>27</v>
      </c>
      <c r="H20" s="33"/>
      <c r="I20" s="33"/>
      <c r="J20" s="33"/>
      <c r="K20" s="33"/>
      <c r="L20" s="24"/>
    </row>
    <row r="21" spans="1:12" ht="10.95" customHeight="1" outlineLevel="1" x14ac:dyDescent="0.2">
      <c r="A21" s="6" t="s">
        <v>39</v>
      </c>
      <c r="B21" s="2" t="s">
        <v>40</v>
      </c>
      <c r="C21" s="3">
        <v>156788.04</v>
      </c>
      <c r="D21" s="3">
        <v>97685.91</v>
      </c>
      <c r="E21" s="8">
        <v>7839.402</v>
      </c>
      <c r="F21" s="5">
        <v>51262.73</v>
      </c>
      <c r="G21" s="19">
        <v>33</v>
      </c>
      <c r="H21" s="33"/>
      <c r="I21" s="33"/>
      <c r="J21" s="33"/>
      <c r="K21" s="33"/>
      <c r="L21" s="24"/>
    </row>
    <row r="22" spans="1:12" ht="10.95" customHeight="1" outlineLevel="1" x14ac:dyDescent="0.2">
      <c r="A22" s="6" t="s">
        <v>55</v>
      </c>
      <c r="B22" s="2" t="s">
        <v>56</v>
      </c>
      <c r="C22" s="3">
        <v>347328.8</v>
      </c>
      <c r="D22" s="3">
        <v>205130.5</v>
      </c>
      <c r="E22" s="3">
        <v>17366.439999999999</v>
      </c>
      <c r="F22" s="5">
        <v>124831.86</v>
      </c>
      <c r="G22" s="19">
        <v>36</v>
      </c>
      <c r="H22" s="33"/>
      <c r="I22" s="33"/>
      <c r="J22" s="33"/>
      <c r="K22" s="33"/>
      <c r="L22" s="24"/>
    </row>
    <row r="23" spans="1:12" ht="10.95" customHeight="1" outlineLevel="1" x14ac:dyDescent="0.2">
      <c r="A23" s="6" t="s">
        <v>42</v>
      </c>
      <c r="B23" s="2" t="s">
        <v>43</v>
      </c>
      <c r="C23" s="3">
        <v>32429.1</v>
      </c>
      <c r="D23" s="3">
        <v>18638.810000000001</v>
      </c>
      <c r="E23" s="8">
        <v>1621.4549999999999</v>
      </c>
      <c r="F23" s="5">
        <v>12168.84</v>
      </c>
      <c r="G23" s="19">
        <v>38</v>
      </c>
      <c r="H23" s="33"/>
      <c r="I23" s="33"/>
      <c r="J23" s="33"/>
      <c r="K23" s="33"/>
      <c r="L23" s="24"/>
    </row>
    <row r="24" spans="1:12" ht="10.199999999999999" outlineLevel="1" x14ac:dyDescent="0.2">
      <c r="A24" s="29" t="s">
        <v>70</v>
      </c>
      <c r="B24" s="2" t="s">
        <v>41</v>
      </c>
      <c r="C24" s="3">
        <v>516800</v>
      </c>
      <c r="D24" s="3">
        <v>296111.86</v>
      </c>
      <c r="E24" s="7">
        <v>25840</v>
      </c>
      <c r="F24" s="5">
        <v>194848.14</v>
      </c>
      <c r="G24" s="19">
        <v>38</v>
      </c>
      <c r="H24" s="33"/>
      <c r="I24" s="33"/>
      <c r="J24" s="33"/>
      <c r="K24" s="33"/>
      <c r="L24" s="24"/>
    </row>
    <row r="25" spans="1:12" ht="10.95" customHeight="1" outlineLevel="1" x14ac:dyDescent="0.2">
      <c r="A25" s="6" t="s">
        <v>44</v>
      </c>
      <c r="B25" s="2" t="s">
        <v>45</v>
      </c>
      <c r="C25" s="3">
        <v>14099.1</v>
      </c>
      <c r="D25" s="3">
        <v>7967.04</v>
      </c>
      <c r="E25" s="9">
        <v>704.95500000000004</v>
      </c>
      <c r="F25" s="5">
        <v>5427.11</v>
      </c>
      <c r="G25" s="19">
        <v>38</v>
      </c>
      <c r="H25" s="33"/>
      <c r="I25" s="33"/>
      <c r="J25" s="33"/>
      <c r="K25" s="33"/>
      <c r="L25" s="24"/>
    </row>
    <row r="26" spans="1:12" ht="10.95" customHeight="1" outlineLevel="1" x14ac:dyDescent="0.2">
      <c r="A26" s="6" t="s">
        <v>53</v>
      </c>
      <c r="B26" s="2" t="s">
        <v>54</v>
      </c>
      <c r="C26" s="3">
        <v>21291.03</v>
      </c>
      <c r="D26" s="3">
        <v>11577.59</v>
      </c>
      <c r="E26" s="4">
        <v>1064.5515</v>
      </c>
      <c r="F26" s="5">
        <v>8648.89</v>
      </c>
      <c r="G26" s="19">
        <v>41</v>
      </c>
      <c r="H26" s="33"/>
      <c r="I26" s="33"/>
      <c r="J26" s="33"/>
      <c r="K26" s="33"/>
      <c r="L26" s="24"/>
    </row>
    <row r="27" spans="1:12" ht="10.95" customHeight="1" outlineLevel="1" x14ac:dyDescent="0.2">
      <c r="A27" s="6" t="s">
        <v>46</v>
      </c>
      <c r="B27" s="2" t="s">
        <v>47</v>
      </c>
      <c r="C27" s="3">
        <v>153450</v>
      </c>
      <c r="D27" s="3">
        <v>79475.600000000006</v>
      </c>
      <c r="E27" s="10">
        <v>7672.5</v>
      </c>
      <c r="F27" s="5">
        <v>66301.899999999994</v>
      </c>
      <c r="G27" s="19">
        <v>43</v>
      </c>
      <c r="H27" s="33"/>
      <c r="I27" s="33"/>
      <c r="J27" s="33"/>
      <c r="K27" s="33"/>
      <c r="L27" s="24"/>
    </row>
    <row r="28" spans="1:12" ht="10.95" customHeight="1" outlineLevel="1" x14ac:dyDescent="0.2">
      <c r="A28" s="6" t="s">
        <v>48</v>
      </c>
      <c r="B28" s="2" t="s">
        <v>28</v>
      </c>
      <c r="C28" s="3">
        <v>138519.70000000001</v>
      </c>
      <c r="D28" s="3">
        <v>68323.320000000007</v>
      </c>
      <c r="E28" s="8">
        <v>6925.9849999999997</v>
      </c>
      <c r="F28" s="5">
        <v>63270.400000000001</v>
      </c>
      <c r="G28" s="19">
        <v>46</v>
      </c>
      <c r="H28" s="33"/>
      <c r="I28" s="33"/>
      <c r="J28" s="33"/>
      <c r="K28" s="33"/>
      <c r="L28" s="24"/>
    </row>
    <row r="29" spans="1:12" ht="10.95" customHeight="1" outlineLevel="1" x14ac:dyDescent="0.2">
      <c r="A29" s="6" t="s">
        <v>49</v>
      </c>
      <c r="B29" s="2" t="s">
        <v>50</v>
      </c>
      <c r="C29" s="3">
        <v>99098.5</v>
      </c>
      <c r="D29" s="3">
        <v>46263.66</v>
      </c>
      <c r="E29" s="8">
        <v>4954.9250000000002</v>
      </c>
      <c r="F29" s="5">
        <v>47879.92</v>
      </c>
      <c r="G29" s="19">
        <v>48</v>
      </c>
      <c r="H29" s="33"/>
      <c r="I29" s="33"/>
      <c r="J29" s="33"/>
      <c r="K29" s="33"/>
      <c r="L29" s="24"/>
    </row>
    <row r="30" spans="1:12" ht="10.95" customHeight="1" outlineLevel="1" x14ac:dyDescent="0.2">
      <c r="A30" s="6" t="s">
        <v>51</v>
      </c>
      <c r="B30" s="2" t="s">
        <v>52</v>
      </c>
      <c r="C30" s="3">
        <v>99098.5</v>
      </c>
      <c r="D30" s="3">
        <v>45556.58</v>
      </c>
      <c r="E30" s="8">
        <v>4954.9250000000002</v>
      </c>
      <c r="F30" s="5">
        <v>48587</v>
      </c>
      <c r="G30" s="19">
        <v>49</v>
      </c>
      <c r="H30" s="33"/>
      <c r="I30" s="33"/>
      <c r="J30" s="33"/>
      <c r="K30" s="33"/>
      <c r="L30" s="24"/>
    </row>
    <row r="31" spans="1:12" ht="10.95" customHeight="1" outlineLevel="1" x14ac:dyDescent="0.2">
      <c r="A31" s="6" t="s">
        <v>59</v>
      </c>
      <c r="B31" s="2" t="s">
        <v>38</v>
      </c>
      <c r="C31" s="3">
        <v>84951.03</v>
      </c>
      <c r="D31" s="3">
        <v>32994.49</v>
      </c>
      <c r="E31" s="4">
        <v>4247.5514999999996</v>
      </c>
      <c r="F31" s="5">
        <v>47708.99</v>
      </c>
      <c r="G31" s="19">
        <v>56</v>
      </c>
      <c r="H31" s="33"/>
      <c r="I31" s="33"/>
      <c r="J31" s="33"/>
      <c r="K31" s="33"/>
      <c r="L31" s="24"/>
    </row>
    <row r="32" spans="1:12" ht="10.95" customHeight="1" outlineLevel="1" x14ac:dyDescent="0.2">
      <c r="A32" s="6" t="s">
        <v>57</v>
      </c>
      <c r="B32" s="2" t="s">
        <v>58</v>
      </c>
      <c r="C32" s="3">
        <v>97800</v>
      </c>
      <c r="D32" s="3">
        <v>36374.239999999998</v>
      </c>
      <c r="E32" s="7">
        <v>4890</v>
      </c>
      <c r="F32" s="5">
        <v>56535.76</v>
      </c>
      <c r="G32" s="19">
        <v>58</v>
      </c>
      <c r="H32" s="33"/>
      <c r="I32" s="33"/>
      <c r="J32" s="33"/>
      <c r="K32" s="33"/>
      <c r="L32" s="24"/>
    </row>
    <row r="33" spans="7:12" ht="11.4" customHeight="1" x14ac:dyDescent="0.2">
      <c r="G33" s="22" t="s">
        <v>68</v>
      </c>
      <c r="H33" s="33"/>
      <c r="I33" s="33"/>
      <c r="J33" s="33"/>
      <c r="K33" s="33"/>
    </row>
    <row r="34" spans="7:12" ht="11.4" customHeight="1" x14ac:dyDescent="0.2">
      <c r="G34" s="22" t="s">
        <v>67</v>
      </c>
      <c r="H34" s="23">
        <v>0</v>
      </c>
      <c r="I34" s="23">
        <v>40000</v>
      </c>
      <c r="J34" s="23">
        <f>800*11</f>
        <v>8800</v>
      </c>
      <c r="K34" s="23">
        <v>5500</v>
      </c>
    </row>
    <row r="35" spans="7:12" ht="11.4" customHeight="1" x14ac:dyDescent="0.2">
      <c r="G35" s="22" t="s">
        <v>66</v>
      </c>
      <c r="H35" s="23">
        <f>SUM(H33:H34)</f>
        <v>0</v>
      </c>
      <c r="I35" s="23">
        <f t="shared" ref="I35:K35" si="0">SUM(I33:I34)</f>
        <v>40000</v>
      </c>
      <c r="J35" s="23">
        <f t="shared" si="0"/>
        <v>8800</v>
      </c>
      <c r="K35" s="23">
        <f t="shared" si="0"/>
        <v>5500</v>
      </c>
      <c r="L35" s="23">
        <f>SUM(H35:K35)</f>
        <v>54300</v>
      </c>
    </row>
    <row r="36" spans="7:12" ht="11.4" customHeight="1" x14ac:dyDescent="0.2">
      <c r="J36" s="27"/>
      <c r="K36" s="28" t="s">
        <v>69</v>
      </c>
      <c r="L36" s="26">
        <f>(F9+F3)*0.15</f>
        <v>347932.3455</v>
      </c>
    </row>
    <row r="37" spans="7:12" ht="11.4" customHeight="1" x14ac:dyDescent="0.2">
      <c r="K37" s="22" t="s">
        <v>72</v>
      </c>
      <c r="L37" s="44">
        <f>L36-L35</f>
        <v>293632.3455</v>
      </c>
    </row>
  </sheetData>
  <sheetProtection algorithmName="SHA-512" hashValue="Nv+PO4OBSBz0ail+wXpDAyQo5yNH0PJ/yLE4Tmzri2aryVi8j+HDR9koP+yCvxkZ6xOjkmlnJld6Zqldm0H2fw==" saltValue="w0NgyMTyErf5ysRYv+RR7Q==" spinCount="100000" sheet="1" objects="1" scenarios="1"/>
  <mergeCells count="9">
    <mergeCell ref="H1:K1"/>
    <mergeCell ref="G1:G2"/>
    <mergeCell ref="A3:B3"/>
    <mergeCell ref="A9:B9"/>
    <mergeCell ref="A1:B1"/>
    <mergeCell ref="C1:C2"/>
    <mergeCell ref="D1:D2"/>
    <mergeCell ref="E1:E2"/>
    <mergeCell ref="F1:F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Петров</cp:lastModifiedBy>
  <dcterms:modified xsi:type="dcterms:W3CDTF">2026-07-16T20:08:33Z</dcterms:modified>
</cp:coreProperties>
</file>