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Codex\projects\1c_odata\deals\deal_2598_ink_filters\"/>
    </mc:Choice>
  </mc:AlternateContent>
  <xr:revisionPtr revIDLastSave="0" documentId="13_ncr:1_{F941C4A3-104A-4888-9E66-8D78215A563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КП_Фильтры_ИН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9" i="1" l="1"/>
  <c r="H23" i="1"/>
  <c r="H19" i="1"/>
  <c r="H17" i="1"/>
  <c r="H16" i="1"/>
  <c r="H14" i="1"/>
  <c r="H12" i="1"/>
  <c r="H10" i="1"/>
  <c r="H7" i="1"/>
  <c r="H6" i="1"/>
  <c r="H29" i="1" s="1"/>
</calcChain>
</file>

<file path=xl/sharedStrings.xml><?xml version="1.0" encoding="utf-8"?>
<sst xmlns="http://schemas.openxmlformats.org/spreadsheetml/2006/main" count="204" uniqueCount="138">
  <si>
    <t>КОММЕРЧЕСКОЕ ПРЕДЛОЖЕНИЕ / ТЕХНИКО-КОММЕРЧЕСКИЙ РЕЕСТР</t>
  </si>
  <si>
    <t>Заказчик: ООО «Иркутская нефтяная компания» (ИНК) | Сделка CRM №2598 | Запрос ОЛ: Закрытый тендер на фильтры</t>
  </si>
  <si>
    <t>Условия цен: Базовые цены закупки КНР (EXW/FCA, юани RMB). Ставка НДС в РФ при поставке: 22%.</t>
  </si>
  <si>
    <t>№ п/п</t>
  </si>
  <si>
    <t>Код номенклатуры ИНК</t>
  </si>
  <si>
    <t>Наименование по запросу ИНК</t>
  </si>
  <si>
    <t>Артикул производителя / Код замены</t>
  </si>
  <si>
    <t>Бренд / Производитель</t>
  </si>
  <si>
    <t>Кол-во</t>
  </si>
  <si>
    <t>Цена за ед., RMB</t>
  </si>
  <si>
    <t>Сумма, RMB</t>
  </si>
  <si>
    <t>Срок поставки</t>
  </si>
  <si>
    <t>Статус позиции</t>
  </si>
  <si>
    <t>Технические характеристики и примечания</t>
  </si>
  <si>
    <t>0000499594</t>
  </si>
  <si>
    <t>Картридж магистрального фильтра Atlas Copco DD 130+</t>
  </si>
  <si>
    <t>DD 130+ (1624108801 / 2901200305)</t>
  </si>
  <si>
    <t>Atlas Copco</t>
  </si>
  <si>
    <t>4–6 недель</t>
  </si>
  <si>
    <t>Оценено (зарубежный склад)</t>
  </si>
  <si>
    <t>Магистральный фильтр предварительной коалесценции. Ø84 мм × L 355 мм, рейтинг 1 мкм, остаточное масло 0.1 мг/м³. Экспортный контроль производителя, спецпоставка из хаба.</t>
  </si>
  <si>
    <t>0000374693</t>
  </si>
  <si>
    <t>Фильтр масляный 1625752501</t>
  </si>
  <si>
    <t>1625752501</t>
  </si>
  <si>
    <t>1–2 недели</t>
  </si>
  <si>
    <t>Оценено (заводской дисконт)</t>
  </si>
  <si>
    <t>Накручивающийся масляный фильтр (spin-on) винтового компрессора, резьбовой порт, давление ≥2.0 МПа. Габариты: 210×100×100 мм, масса 0.8 кг. Сводная потребность по 6 ЗО.</t>
  </si>
  <si>
    <t>0000256752</t>
  </si>
  <si>
    <t>Элемент фильтрующий первой ступени очистки маслосепаратора 431120</t>
  </si>
  <si>
    <t>431120</t>
  </si>
  <si>
    <t>Keltec / OEM</t>
  </si>
  <si>
    <t>—</t>
  </si>
  <si>
    <t>Уточняется</t>
  </si>
  <si>
    <t>Требуется шильдик компрессора</t>
  </si>
  <si>
    <t>Первая ступень 2-ступенчатой системы отделения масла. Работает в тандеме со 2-й ступенью 431120-1 (поз. 15). Для исключения ошибки требуется фото заводской таблички (шильдика) машины.</t>
  </si>
  <si>
    <t>0000256917</t>
  </si>
  <si>
    <t>Фильтр-картридж входного газа G-5 с удвоенной пропускной способностью</t>
  </si>
  <si>
    <t>G-5 (Gas Filter)</t>
  </si>
  <si>
    <t>Уточняется (Gas Filter)</t>
  </si>
  <si>
    <t>Требуются параметры и фото</t>
  </si>
  <si>
    <t>Высокопоточный картридж очистки газа. Для фабричной квалификации требуются: точные размеры (внеш./внутр. диаметр, длина), параметры рабочей среды, рабочее давление и фото маркировки.</t>
  </si>
  <si>
    <t>0000234728</t>
  </si>
  <si>
    <t>Фильтр воздушный GA22 1613872000</t>
  </si>
  <si>
    <t>1613872000 (GA22)</t>
  </si>
  <si>
    <t>Оценено</t>
  </si>
  <si>
    <t>Входной воздушный фильтр компрессоров Atlas Copco GA22. Габариты: Øнар 130 мм × Øвнутр 70 мм × H 270 мм, полиуретановое/металлическое уплотнение, масса 0.17 кг.</t>
  </si>
  <si>
    <t>0000153113</t>
  </si>
  <si>
    <t>Элемент фильтрующий 1249203604</t>
  </si>
  <si>
    <t>1249203604</t>
  </si>
  <si>
    <t>Atlas Copco / Kaeser</t>
  </si>
  <si>
    <t>Подбор аналога</t>
  </si>
  <si>
    <t>Требуется чертеж/паспорт для аналога</t>
  </si>
  <si>
    <t>Оригинальный артикул имеет ограничения на открытую дистрибуцию в КНР. Для изготовления/подбора прямого функционального OEM-аналога необходим чертеж или посадочные размеры (высота, диаметры, тип фланца/резьбы).</t>
  </si>
  <si>
    <t>0000234724</t>
  </si>
  <si>
    <t>Фильтр масляный Atlas Copco GA45 1625752500</t>
  </si>
  <si>
    <t>1625752500 (GA45)</t>
  </si>
  <si>
    <t>Оценено (оптовый дисконт)</t>
  </si>
  <si>
    <t>Масляный фильтр спинонного типа для винтовых компрессоров GA45. Размеры: 210×100×100 мм, масса 0.8 кг. Согласована специальная фабричная цена на объем 12 шт.</t>
  </si>
  <si>
    <t>0000299032</t>
  </si>
  <si>
    <t>Элемент газо-масляного сепаратора 43-1130</t>
  </si>
  <si>
    <t>43-1130 / 431130</t>
  </si>
  <si>
    <t>Цилиндрический маслоотделительный картридж с встроенными заземляющими выводами и уплотнительной прокладкой. Для гарантированного исключения ошибки требуется фото шильдика компрессора.</t>
  </si>
  <si>
    <t>0000374586</t>
  </si>
  <si>
    <t>Элемент фильтрующий 1622 5693 00</t>
  </si>
  <si>
    <t>1622 5693 00 (1622569300)</t>
  </si>
  <si>
    <t>Погружной сепаратор воздушно-масляной смеси с встроенной антистатической клеммой заземления. Размеры упаковки: 300×300×340 мм, масса 3.0 кг (базовый каталог面价 5147 RMB).</t>
  </si>
  <si>
    <t>0000464834</t>
  </si>
  <si>
    <t>Фильтр масляный 2023400100</t>
  </si>
  <si>
    <t>2023400100</t>
  </si>
  <si>
    <t>Ceccato / CP / Atlas Copco Group</t>
  </si>
  <si>
    <t>На проработке</t>
  </si>
  <si>
    <t>Уточнение артикула / шильдика</t>
  </si>
  <si>
    <t>Спинонный масляный фильтр оборудования концерна Atlas Copco (Ceccato/CP). Прямой кросс-номер отсутствует в открытых базах КНР. Запрошена маркировка или фото узла.</t>
  </si>
  <si>
    <t>0000374569</t>
  </si>
  <si>
    <t>Элемент фильтрующий 1622 1855 01</t>
  </si>
  <si>
    <t>1622 1855 01 (1622185501)</t>
  </si>
  <si>
    <t>Всасывающий воздушный фильтр винтового компрессора. Эффективность фильтрации ≥99.9%. Размеры упаковки: 395×240×240 мм, масса 1.63 кг (базовый каталог面价 2139 RMB).</t>
  </si>
  <si>
    <t>0001064187</t>
  </si>
  <si>
    <t>Фильтроэлемент маслосепаратора 1625481100</t>
  </si>
  <si>
    <t>1625481100</t>
  </si>
  <si>
    <t>Встроенный маслоотделитель с комплектом оригинальных уплотнений. Размеры упаковки: 302×140×140 мм, масса 2.6 кг (базовый каталог面价 2718 RMB).</t>
  </si>
  <si>
    <t>0000334153</t>
  </si>
  <si>
    <t>Элемент фильтрующий 1249203606</t>
  </si>
  <si>
    <t>1249203606</t>
  </si>
  <si>
    <t>Прецизионный фильтроэлемент. Оригинальный артикул имеет региональные ограничения на поставку в КНР. Для подбора или фабричного производства прямого аналога требуются размеры или фото шильда корпуса фильтра.</t>
  </si>
  <si>
    <t>0000499593</t>
  </si>
  <si>
    <t>Картридж магистрального фильтра Atlas Copco PD 130+</t>
  </si>
  <si>
    <t>PD 130+ (1624108802 / 2901200405)</t>
  </si>
  <si>
    <t>Ультратонкий коалесцентный микрофильтр. Ø84 мм × L 355 мм, рейтинг 0.01 мкм, остаточное масло ≤0.01 мг/м³. Работает в паре с DD 130+ (поз. 1). Экспортный контроль, спецканал.</t>
  </si>
  <si>
    <t>0000256755</t>
  </si>
  <si>
    <t>Элемент фильтрующий второй ступени очистки маслосепаратора 431120-1</t>
  </si>
  <si>
    <t>431120-1</t>
  </si>
  <si>
    <t>Вторая (тонкая) ступень сепарации. Закупается строго в комплекте с первой ступенью 431120 (поз. 3). Для точного совпадения посадки требуется шильдик компрессорной установки.</t>
  </si>
  <si>
    <t>0000237601</t>
  </si>
  <si>
    <t>Элемент фильтрующий FP310-10 (оригинальный код Ariel A-18845)</t>
  </si>
  <si>
    <t>FP310-10 / Ariel A-18845</t>
  </si>
  <si>
    <t>Ariel / Jonell / OEM</t>
  </si>
  <si>
    <t>Требуется серийный номер Ariel</t>
  </si>
  <si>
    <t>Фильтроэлемент очистки газа компрессора Ariel. Размеры: 3" (76 мм) × 1.1" (28 мм) × 10" (254 мм). ТРЕБОВАНИЕ ИНК: тонкость 1 мкм (у стандартного FP310-10 идет 5 мкм). Для фабричной валидации стекловолоконного исполнения 1 мкм поставщик запросил серийный номер компрессора Ariel.</t>
  </si>
  <si>
    <t>0000239977</t>
  </si>
  <si>
    <t>Картридж HF51090R</t>
  </si>
  <si>
    <t>HF51090R</t>
  </si>
  <si>
    <t>Parker / Donaldson</t>
  </si>
  <si>
    <t>Требуется подтверждение бренда/фото</t>
  </si>
  <si>
    <t>Гидравлический напорно-сливной картридж. Комплектная пара к HF51090S (поз. 19). В каталогах не идентифицирован (спецзаказ). Требуется подтверждение производителя (Parker?), фото торцов с лазерной гравировкой.</t>
  </si>
  <si>
    <t>0000842897</t>
  </si>
  <si>
    <t>Фильтр масляный 01174416</t>
  </si>
  <si>
    <t>01174416</t>
  </si>
  <si>
    <t>Deutz</t>
  </si>
  <si>
    <t>Оценено (наличие на складе)</t>
  </si>
  <si>
    <t>Масляный фильтр дизельного двигателя Deutz, резьба M24×1.5, масса 0.31 кг. На складе в Китае есть в наличии ровно 2 шт.</t>
  </si>
  <si>
    <t>0000239979</t>
  </si>
  <si>
    <t>Картридж HF51090S</t>
  </si>
  <si>
    <t>HF51090S</t>
  </si>
  <si>
    <t>Гидравлический фильтроэлемент, комплектный к HF51090R (поз. 17). Запрошены фото маркировки и гравировки партии.</t>
  </si>
  <si>
    <t>0000842892</t>
  </si>
  <si>
    <t>Фильтр для очистки воздуха двигателя/компрессора ДТ75М-1109560 А</t>
  </si>
  <si>
    <t>ДТ75М-1109560 А</t>
  </si>
  <si>
    <t>РФ (Автоприбор / Ливны)</t>
  </si>
  <si>
    <t>Со склада в РФ</t>
  </si>
  <si>
    <t>Отечественная номенклатура (РФ)</t>
  </si>
  <si>
    <t>Воздухоочиститель дизельных двигателей типа ДТ-75 (А-41/СМД). Поставка напрямую с российских заводов-изготовителей / складов в РФ. При необходимости возможен подбор китайского аналога по посадочным габаритам.</t>
  </si>
  <si>
    <t>0000850494</t>
  </si>
  <si>
    <t>Элемент фильтрующий серии "Магистраль" F-130-10-M-С-070 ТУ 3600-048-54116265-2016</t>
  </si>
  <si>
    <t>F-130-10-M-С-070</t>
  </si>
  <si>
    <t>РФ (ООО "Сепаратор")</t>
  </si>
  <si>
    <t>Со склада в РФ / изготовление в КНР</t>
  </si>
  <si>
    <t>Фильтроэлемент коалесцирующий по российскому ТУ 3600-048-54116265-2016. Предлагается поставка оригинальных изделий по ТУ из РФ, либо готовы изготовить полный аналог на партнерском заводе в КНР при предоставлении чертежа/паспорта.</t>
  </si>
  <si>
    <t>0000842895</t>
  </si>
  <si>
    <t>Фильтр для очистки воздуха двигателя/компрессора ДТ75М-1109560-01 А</t>
  </si>
  <si>
    <t>ДТ75М-1109560-01 А</t>
  </si>
  <si>
    <t>Воздушный фильтроэлемент компрессора/дизеля ДТ-75 (модификация -01). Поставка из наличия с завода в РФ.</t>
  </si>
  <si>
    <t>0000850485</t>
  </si>
  <si>
    <t>Элемент фильтрующий серии "G-Oil" ФЭМ-GY-10 95/48/276 ТУ 4145-021-54116265-2011</t>
  </si>
  <si>
    <t>ФЭМ-GY-10 95/48/276</t>
  </si>
  <si>
    <t>РФ (ООО "Сепаратор" / ГПН)</t>
  </si>
  <si>
    <t>Масляный фильтроэлемент по ТУ 4145-021-54116265-2011. Габариты: Øнар 95 мм × Øвнутр 48 мм × H 276 мм. Готовы поставить из РФ, либо произвести аналог в КНР по техпаспорту.</t>
  </si>
  <si>
    <t>ИТОГО по подтвержденным позициям КНР (9 позиций, 52 шт.):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</si>
</sst>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F497D"/>
      <name val="Calibri"/>
    </font>
    <font>
      <i/>
      <sz val="11"/>
      <color rgb="FF595959"/>
      <name val="Calibri"/>
    </font>
    <font>
      <i/>
      <sz val="9"/>
      <color rgb="FF333333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1"/>
      <color rgb="FF1F497D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1F497D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97D"/>
      </top>
      <bottom style="double">
        <color rgb="FF1F497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left" wrapText="1"/>
    </xf>
    <xf numFmtId="0" fontId="5" fillId="3" borderId="2" xfId="0" applyFont="1" applyFill="1" applyBorder="1" applyAlignment="1">
      <alignment horizontal="left"/>
    </xf>
    <xf numFmtId="4" fontId="5" fillId="3" borderId="2" xfId="0" applyNumberFormat="1" applyFont="1" applyFill="1" applyBorder="1" applyAlignment="1">
      <alignment horizontal="right"/>
    </xf>
    <xf numFmtId="0" fontId="5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left" wrapText="1"/>
    </xf>
    <xf numFmtId="0" fontId="5" fillId="4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left" wrapText="1"/>
    </xf>
    <xf numFmtId="0" fontId="5" fillId="5" borderId="2" xfId="0" applyFont="1" applyFill="1" applyBorder="1" applyAlignment="1">
      <alignment horizontal="left"/>
    </xf>
    <xf numFmtId="0" fontId="0" fillId="6" borderId="3" xfId="0" applyFill="1" applyBorder="1"/>
    <xf numFmtId="0" fontId="6" fillId="6" borderId="3" xfId="0" applyFont="1" applyFill="1" applyBorder="1" applyAlignment="1">
      <alignment horizontal="right"/>
    </xf>
    <xf numFmtId="0" fontId="6" fillId="6" borderId="3" xfId="0" applyFont="1" applyFill="1" applyBorder="1" applyAlignment="1">
      <alignment horizontal="center"/>
    </xf>
    <xf numFmtId="4" fontId="7" fillId="6" borderId="3" xfId="0" applyNumberFormat="1" applyFont="1" applyFill="1" applyBorder="1" applyAlignment="1">
      <alignment horizontal="right"/>
    </xf>
    <xf numFmtId="0" fontId="0" fillId="0" borderId="0" xfId="0" applyAlignment="1">
      <alignment wrapText="1"/>
    </xf>
    <xf numFmtId="0" fontId="5" fillId="3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 wrapText="1"/>
    </xf>
    <xf numFmtId="0" fontId="0" fillId="6" borderId="3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topLeftCell="A21" workbookViewId="0">
      <selection activeCell="J11" sqref="J11"/>
    </sheetView>
  </sheetViews>
  <sheetFormatPr defaultRowHeight="14.4" x14ac:dyDescent="0.3"/>
  <cols>
    <col min="1" max="1" width="8" customWidth="1"/>
    <col min="2" max="2" width="15" customWidth="1"/>
    <col min="3" max="3" width="35" customWidth="1"/>
    <col min="4" max="4" width="30" customWidth="1"/>
    <col min="5" max="5" width="18" customWidth="1"/>
    <col min="6" max="6" width="10" customWidth="1"/>
    <col min="7" max="7" width="16" customWidth="1"/>
    <col min="8" max="8" width="18" customWidth="1"/>
    <col min="9" max="9" width="20" customWidth="1"/>
    <col min="10" max="10" width="28" style="19" customWidth="1"/>
    <col min="11" max="11" width="50" customWidth="1"/>
  </cols>
  <sheetData>
    <row r="1" spans="1:11" ht="18" x14ac:dyDescent="0.35">
      <c r="A1" s="1" t="s">
        <v>0</v>
      </c>
    </row>
    <row r="2" spans="1:11" x14ac:dyDescent="0.3">
      <c r="A2" s="2" t="s">
        <v>1</v>
      </c>
    </row>
    <row r="3" spans="1:11" x14ac:dyDescent="0.3">
      <c r="A3" s="3" t="s">
        <v>2</v>
      </c>
    </row>
    <row r="5" spans="1:11" ht="28.05" customHeight="1" thickBot="1" x14ac:dyDescent="0.3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spans="1:11" ht="55.2" x14ac:dyDescent="0.3">
      <c r="A6" s="5">
        <v>1</v>
      </c>
      <c r="B6" s="5" t="s">
        <v>14</v>
      </c>
      <c r="C6" s="6" t="s">
        <v>15</v>
      </c>
      <c r="D6" s="7" t="s">
        <v>16</v>
      </c>
      <c r="E6" s="5" t="s">
        <v>17</v>
      </c>
      <c r="F6" s="5">
        <v>2</v>
      </c>
      <c r="G6" s="8">
        <v>1676</v>
      </c>
      <c r="H6" s="8">
        <f>F6*G6</f>
        <v>3352</v>
      </c>
      <c r="I6" s="5" t="s">
        <v>18</v>
      </c>
      <c r="J6" s="20" t="s">
        <v>19</v>
      </c>
      <c r="K6" s="6" t="s">
        <v>20</v>
      </c>
    </row>
    <row r="7" spans="1:11" ht="55.2" x14ac:dyDescent="0.3">
      <c r="A7" s="5">
        <v>2</v>
      </c>
      <c r="B7" s="5" t="s">
        <v>21</v>
      </c>
      <c r="C7" s="6" t="s">
        <v>22</v>
      </c>
      <c r="D7" s="7" t="s">
        <v>23</v>
      </c>
      <c r="E7" s="5" t="s">
        <v>17</v>
      </c>
      <c r="F7" s="5">
        <v>10</v>
      </c>
      <c r="G7" s="8">
        <v>320</v>
      </c>
      <c r="H7" s="8">
        <f>F7*G7</f>
        <v>3200</v>
      </c>
      <c r="I7" s="5" t="s">
        <v>24</v>
      </c>
      <c r="J7" s="20" t="s">
        <v>25</v>
      </c>
      <c r="K7" s="6" t="s">
        <v>26</v>
      </c>
    </row>
    <row r="8" spans="1:11" ht="55.2" x14ac:dyDescent="0.3">
      <c r="A8" s="9">
        <v>3</v>
      </c>
      <c r="B8" s="9" t="s">
        <v>27</v>
      </c>
      <c r="C8" s="10" t="s">
        <v>28</v>
      </c>
      <c r="D8" s="11" t="s">
        <v>29</v>
      </c>
      <c r="E8" s="9" t="s">
        <v>30</v>
      </c>
      <c r="F8" s="9">
        <v>1</v>
      </c>
      <c r="G8" s="9" t="s">
        <v>31</v>
      </c>
      <c r="H8" s="9" t="s">
        <v>31</v>
      </c>
      <c r="I8" s="9" t="s">
        <v>32</v>
      </c>
      <c r="J8" s="21" t="s">
        <v>33</v>
      </c>
      <c r="K8" s="10" t="s">
        <v>34</v>
      </c>
    </row>
    <row r="9" spans="1:11" ht="55.2" x14ac:dyDescent="0.3">
      <c r="A9" s="9">
        <v>4</v>
      </c>
      <c r="B9" s="9" t="s">
        <v>35</v>
      </c>
      <c r="C9" s="10" t="s">
        <v>36</v>
      </c>
      <c r="D9" s="11" t="s">
        <v>37</v>
      </c>
      <c r="E9" s="9" t="s">
        <v>38</v>
      </c>
      <c r="F9" s="9">
        <v>2</v>
      </c>
      <c r="G9" s="9" t="s">
        <v>31</v>
      </c>
      <c r="H9" s="9" t="s">
        <v>31</v>
      </c>
      <c r="I9" s="9" t="s">
        <v>32</v>
      </c>
      <c r="J9" s="21" t="s">
        <v>39</v>
      </c>
      <c r="K9" s="10" t="s">
        <v>40</v>
      </c>
    </row>
    <row r="10" spans="1:11" ht="41.4" x14ac:dyDescent="0.3">
      <c r="A10" s="5">
        <v>5</v>
      </c>
      <c r="B10" s="5" t="s">
        <v>41</v>
      </c>
      <c r="C10" s="6" t="s">
        <v>42</v>
      </c>
      <c r="D10" s="7" t="s">
        <v>43</v>
      </c>
      <c r="E10" s="5" t="s">
        <v>17</v>
      </c>
      <c r="F10" s="5">
        <v>9</v>
      </c>
      <c r="G10" s="8">
        <v>318</v>
      </c>
      <c r="H10" s="8">
        <f>F10*G10</f>
        <v>2862</v>
      </c>
      <c r="I10" s="5" t="s">
        <v>24</v>
      </c>
      <c r="J10" s="20" t="s">
        <v>44</v>
      </c>
      <c r="K10" s="6" t="s">
        <v>45</v>
      </c>
    </row>
    <row r="11" spans="1:11" ht="69" x14ac:dyDescent="0.3">
      <c r="A11" s="9">
        <v>6</v>
      </c>
      <c r="B11" s="9" t="s">
        <v>46</v>
      </c>
      <c r="C11" s="10" t="s">
        <v>47</v>
      </c>
      <c r="D11" s="11" t="s">
        <v>48</v>
      </c>
      <c r="E11" s="9" t="s">
        <v>49</v>
      </c>
      <c r="F11" s="9">
        <v>4</v>
      </c>
      <c r="G11" s="9" t="s">
        <v>31</v>
      </c>
      <c r="H11" s="9" t="s">
        <v>31</v>
      </c>
      <c r="I11" s="9" t="s">
        <v>50</v>
      </c>
      <c r="J11" s="21" t="s">
        <v>51</v>
      </c>
      <c r="K11" s="10" t="s">
        <v>52</v>
      </c>
    </row>
    <row r="12" spans="1:11" ht="55.2" x14ac:dyDescent="0.3">
      <c r="A12" s="5">
        <v>7</v>
      </c>
      <c r="B12" s="5" t="s">
        <v>53</v>
      </c>
      <c r="C12" s="6" t="s">
        <v>54</v>
      </c>
      <c r="D12" s="7" t="s">
        <v>55</v>
      </c>
      <c r="E12" s="5" t="s">
        <v>17</v>
      </c>
      <c r="F12" s="5">
        <v>12</v>
      </c>
      <c r="G12" s="8">
        <v>320</v>
      </c>
      <c r="H12" s="8">
        <f>F12*G12</f>
        <v>3840</v>
      </c>
      <c r="I12" s="5" t="s">
        <v>24</v>
      </c>
      <c r="J12" s="20" t="s">
        <v>56</v>
      </c>
      <c r="K12" s="6" t="s">
        <v>57</v>
      </c>
    </row>
    <row r="13" spans="1:11" ht="55.2" x14ac:dyDescent="0.3">
      <c r="A13" s="9">
        <v>8</v>
      </c>
      <c r="B13" s="9" t="s">
        <v>58</v>
      </c>
      <c r="C13" s="10" t="s">
        <v>59</v>
      </c>
      <c r="D13" s="11" t="s">
        <v>60</v>
      </c>
      <c r="E13" s="9" t="s">
        <v>30</v>
      </c>
      <c r="F13" s="9">
        <v>2</v>
      </c>
      <c r="G13" s="9" t="s">
        <v>31</v>
      </c>
      <c r="H13" s="9" t="s">
        <v>31</v>
      </c>
      <c r="I13" s="9" t="s">
        <v>32</v>
      </c>
      <c r="J13" s="21" t="s">
        <v>33</v>
      </c>
      <c r="K13" s="10" t="s">
        <v>61</v>
      </c>
    </row>
    <row r="14" spans="1:11" ht="55.2" x14ac:dyDescent="0.3">
      <c r="A14" s="5">
        <v>9</v>
      </c>
      <c r="B14" s="5" t="s">
        <v>62</v>
      </c>
      <c r="C14" s="6" t="s">
        <v>63</v>
      </c>
      <c r="D14" s="7" t="s">
        <v>64</v>
      </c>
      <c r="E14" s="5" t="s">
        <v>17</v>
      </c>
      <c r="F14" s="5">
        <v>6</v>
      </c>
      <c r="G14" s="8">
        <v>3300</v>
      </c>
      <c r="H14" s="8">
        <f>F14*G14</f>
        <v>19800</v>
      </c>
      <c r="I14" s="5" t="s">
        <v>24</v>
      </c>
      <c r="J14" s="20" t="s">
        <v>44</v>
      </c>
      <c r="K14" s="6" t="s">
        <v>65</v>
      </c>
    </row>
    <row r="15" spans="1:11" ht="55.2" x14ac:dyDescent="0.3">
      <c r="A15" s="9">
        <v>10</v>
      </c>
      <c r="B15" s="9" t="s">
        <v>66</v>
      </c>
      <c r="C15" s="10" t="s">
        <v>67</v>
      </c>
      <c r="D15" s="11" t="s">
        <v>68</v>
      </c>
      <c r="E15" s="9" t="s">
        <v>69</v>
      </c>
      <c r="F15" s="9">
        <v>3</v>
      </c>
      <c r="G15" s="9" t="s">
        <v>31</v>
      </c>
      <c r="H15" s="9" t="s">
        <v>31</v>
      </c>
      <c r="I15" s="9" t="s">
        <v>70</v>
      </c>
      <c r="J15" s="21" t="s">
        <v>71</v>
      </c>
      <c r="K15" s="10" t="s">
        <v>72</v>
      </c>
    </row>
    <row r="16" spans="1:11" ht="55.2" x14ac:dyDescent="0.3">
      <c r="A16" s="5">
        <v>11</v>
      </c>
      <c r="B16" s="5" t="s">
        <v>73</v>
      </c>
      <c r="C16" s="6" t="s">
        <v>74</v>
      </c>
      <c r="D16" s="7" t="s">
        <v>75</v>
      </c>
      <c r="E16" s="5" t="s">
        <v>17</v>
      </c>
      <c r="F16" s="5">
        <v>6</v>
      </c>
      <c r="G16" s="8">
        <v>1300</v>
      </c>
      <c r="H16" s="8">
        <f>F16*G16</f>
        <v>7800</v>
      </c>
      <c r="I16" s="5" t="s">
        <v>24</v>
      </c>
      <c r="J16" s="20" t="s">
        <v>44</v>
      </c>
      <c r="K16" s="6" t="s">
        <v>76</v>
      </c>
    </row>
    <row r="17" spans="1:11" ht="41.4" x14ac:dyDescent="0.3">
      <c r="A17" s="5">
        <v>12</v>
      </c>
      <c r="B17" s="5" t="s">
        <v>77</v>
      </c>
      <c r="C17" s="6" t="s">
        <v>78</v>
      </c>
      <c r="D17" s="7" t="s">
        <v>79</v>
      </c>
      <c r="E17" s="5" t="s">
        <v>17</v>
      </c>
      <c r="F17" s="5">
        <v>3</v>
      </c>
      <c r="G17" s="8">
        <v>1700</v>
      </c>
      <c r="H17" s="8">
        <f>F17*G17</f>
        <v>5100</v>
      </c>
      <c r="I17" s="5" t="s">
        <v>24</v>
      </c>
      <c r="J17" s="20" t="s">
        <v>44</v>
      </c>
      <c r="K17" s="6" t="s">
        <v>80</v>
      </c>
    </row>
    <row r="18" spans="1:11" ht="55.2" x14ac:dyDescent="0.3">
      <c r="A18" s="9">
        <v>13</v>
      </c>
      <c r="B18" s="9" t="s">
        <v>81</v>
      </c>
      <c r="C18" s="10" t="s">
        <v>82</v>
      </c>
      <c r="D18" s="11" t="s">
        <v>83</v>
      </c>
      <c r="E18" s="9" t="s">
        <v>49</v>
      </c>
      <c r="F18" s="9">
        <v>2</v>
      </c>
      <c r="G18" s="9" t="s">
        <v>31</v>
      </c>
      <c r="H18" s="9" t="s">
        <v>31</v>
      </c>
      <c r="I18" s="9" t="s">
        <v>50</v>
      </c>
      <c r="J18" s="21" t="s">
        <v>51</v>
      </c>
      <c r="K18" s="10" t="s">
        <v>84</v>
      </c>
    </row>
    <row r="19" spans="1:11" ht="55.2" x14ac:dyDescent="0.3">
      <c r="A19" s="5">
        <v>14</v>
      </c>
      <c r="B19" s="5" t="s">
        <v>85</v>
      </c>
      <c r="C19" s="6" t="s">
        <v>86</v>
      </c>
      <c r="D19" s="7" t="s">
        <v>87</v>
      </c>
      <c r="E19" s="5" t="s">
        <v>17</v>
      </c>
      <c r="F19" s="5">
        <v>2</v>
      </c>
      <c r="G19" s="8">
        <v>1676</v>
      </c>
      <c r="H19" s="8">
        <f>F19*G19</f>
        <v>3352</v>
      </c>
      <c r="I19" s="5" t="s">
        <v>18</v>
      </c>
      <c r="J19" s="20" t="s">
        <v>19</v>
      </c>
      <c r="K19" s="6" t="s">
        <v>88</v>
      </c>
    </row>
    <row r="20" spans="1:11" ht="55.2" x14ac:dyDescent="0.3">
      <c r="A20" s="9">
        <v>15</v>
      </c>
      <c r="B20" s="9" t="s">
        <v>89</v>
      </c>
      <c r="C20" s="10" t="s">
        <v>90</v>
      </c>
      <c r="D20" s="11" t="s">
        <v>91</v>
      </c>
      <c r="E20" s="9" t="s">
        <v>30</v>
      </c>
      <c r="F20" s="9">
        <v>1</v>
      </c>
      <c r="G20" s="9" t="s">
        <v>31</v>
      </c>
      <c r="H20" s="9" t="s">
        <v>31</v>
      </c>
      <c r="I20" s="9" t="s">
        <v>32</v>
      </c>
      <c r="J20" s="21" t="s">
        <v>33</v>
      </c>
      <c r="K20" s="10" t="s">
        <v>92</v>
      </c>
    </row>
    <row r="21" spans="1:11" ht="82.8" x14ac:dyDescent="0.3">
      <c r="A21" s="9">
        <v>16</v>
      </c>
      <c r="B21" s="9" t="s">
        <v>93</v>
      </c>
      <c r="C21" s="10" t="s">
        <v>94</v>
      </c>
      <c r="D21" s="11" t="s">
        <v>95</v>
      </c>
      <c r="E21" s="9" t="s">
        <v>96</v>
      </c>
      <c r="F21" s="9">
        <v>5</v>
      </c>
      <c r="G21" s="9" t="s">
        <v>31</v>
      </c>
      <c r="H21" s="9" t="s">
        <v>31</v>
      </c>
      <c r="I21" s="9" t="s">
        <v>32</v>
      </c>
      <c r="J21" s="21" t="s">
        <v>97</v>
      </c>
      <c r="K21" s="10" t="s">
        <v>98</v>
      </c>
    </row>
    <row r="22" spans="1:11" ht="69" x14ac:dyDescent="0.3">
      <c r="A22" s="9">
        <v>17</v>
      </c>
      <c r="B22" s="9" t="s">
        <v>99</v>
      </c>
      <c r="C22" s="10" t="s">
        <v>100</v>
      </c>
      <c r="D22" s="11" t="s">
        <v>101</v>
      </c>
      <c r="E22" s="9" t="s">
        <v>102</v>
      </c>
      <c r="F22" s="9">
        <v>4</v>
      </c>
      <c r="G22" s="9" t="s">
        <v>31</v>
      </c>
      <c r="H22" s="9" t="s">
        <v>31</v>
      </c>
      <c r="I22" s="9" t="s">
        <v>32</v>
      </c>
      <c r="J22" s="21" t="s">
        <v>103</v>
      </c>
      <c r="K22" s="10" t="s">
        <v>104</v>
      </c>
    </row>
    <row r="23" spans="1:11" ht="41.4" x14ac:dyDescent="0.3">
      <c r="A23" s="5">
        <v>18</v>
      </c>
      <c r="B23" s="5" t="s">
        <v>105</v>
      </c>
      <c r="C23" s="6" t="s">
        <v>106</v>
      </c>
      <c r="D23" s="7" t="s">
        <v>107</v>
      </c>
      <c r="E23" s="5" t="s">
        <v>108</v>
      </c>
      <c r="F23" s="5">
        <v>2</v>
      </c>
      <c r="G23" s="8">
        <v>50</v>
      </c>
      <c r="H23" s="8">
        <f>F23*G23</f>
        <v>100</v>
      </c>
      <c r="I23" s="5" t="s">
        <v>24</v>
      </c>
      <c r="J23" s="20" t="s">
        <v>109</v>
      </c>
      <c r="K23" s="6" t="s">
        <v>110</v>
      </c>
    </row>
    <row r="24" spans="1:11" ht="41.4" x14ac:dyDescent="0.3">
      <c r="A24" s="9">
        <v>19</v>
      </c>
      <c r="B24" s="9" t="s">
        <v>111</v>
      </c>
      <c r="C24" s="10" t="s">
        <v>112</v>
      </c>
      <c r="D24" s="11" t="s">
        <v>113</v>
      </c>
      <c r="E24" s="9" t="s">
        <v>102</v>
      </c>
      <c r="F24" s="9">
        <v>5</v>
      </c>
      <c r="G24" s="9" t="s">
        <v>31</v>
      </c>
      <c r="H24" s="9" t="s">
        <v>31</v>
      </c>
      <c r="I24" s="9" t="s">
        <v>32</v>
      </c>
      <c r="J24" s="21" t="s">
        <v>103</v>
      </c>
      <c r="K24" s="10" t="s">
        <v>114</v>
      </c>
    </row>
    <row r="25" spans="1:11" ht="69" x14ac:dyDescent="0.3">
      <c r="A25" s="12">
        <v>20</v>
      </c>
      <c r="B25" s="12" t="s">
        <v>115</v>
      </c>
      <c r="C25" s="13" t="s">
        <v>116</v>
      </c>
      <c r="D25" s="14" t="s">
        <v>117</v>
      </c>
      <c r="E25" s="12" t="s">
        <v>118</v>
      </c>
      <c r="F25" s="12">
        <v>4</v>
      </c>
      <c r="G25" s="12" t="s">
        <v>31</v>
      </c>
      <c r="H25" s="12" t="s">
        <v>31</v>
      </c>
      <c r="I25" s="12" t="s">
        <v>119</v>
      </c>
      <c r="J25" s="22" t="s">
        <v>120</v>
      </c>
      <c r="K25" s="13" t="s">
        <v>121</v>
      </c>
    </row>
    <row r="26" spans="1:11" ht="69" x14ac:dyDescent="0.3">
      <c r="A26" s="12">
        <v>21</v>
      </c>
      <c r="B26" s="12" t="s">
        <v>122</v>
      </c>
      <c r="C26" s="13" t="s">
        <v>123</v>
      </c>
      <c r="D26" s="14" t="s">
        <v>124</v>
      </c>
      <c r="E26" s="12" t="s">
        <v>125</v>
      </c>
      <c r="F26" s="12">
        <v>3</v>
      </c>
      <c r="G26" s="12" t="s">
        <v>31</v>
      </c>
      <c r="H26" s="12" t="s">
        <v>31</v>
      </c>
      <c r="I26" s="12" t="s">
        <v>126</v>
      </c>
      <c r="J26" s="22" t="s">
        <v>120</v>
      </c>
      <c r="K26" s="13" t="s">
        <v>127</v>
      </c>
    </row>
    <row r="27" spans="1:11" ht="41.4" x14ac:dyDescent="0.3">
      <c r="A27" s="12">
        <v>22</v>
      </c>
      <c r="B27" s="12" t="s">
        <v>128</v>
      </c>
      <c r="C27" s="13" t="s">
        <v>129</v>
      </c>
      <c r="D27" s="14" t="s">
        <v>130</v>
      </c>
      <c r="E27" s="12" t="s">
        <v>118</v>
      </c>
      <c r="F27" s="12">
        <v>4</v>
      </c>
      <c r="G27" s="12" t="s">
        <v>31</v>
      </c>
      <c r="H27" s="12" t="s">
        <v>31</v>
      </c>
      <c r="I27" s="12" t="s">
        <v>119</v>
      </c>
      <c r="J27" s="22" t="s">
        <v>120</v>
      </c>
      <c r="K27" s="13" t="s">
        <v>131</v>
      </c>
    </row>
    <row r="28" spans="1:11" ht="55.2" x14ac:dyDescent="0.3">
      <c r="A28" s="12">
        <v>23</v>
      </c>
      <c r="B28" s="12" t="s">
        <v>132</v>
      </c>
      <c r="C28" s="13" t="s">
        <v>133</v>
      </c>
      <c r="D28" s="14" t="s">
        <v>134</v>
      </c>
      <c r="E28" s="12" t="s">
        <v>135</v>
      </c>
      <c r="F28" s="12">
        <v>3</v>
      </c>
      <c r="G28" s="12" t="s">
        <v>31</v>
      </c>
      <c r="H28" s="12" t="s">
        <v>31</v>
      </c>
      <c r="I28" s="12" t="s">
        <v>126</v>
      </c>
      <c r="J28" s="22" t="s">
        <v>120</v>
      </c>
      <c r="K28" s="13" t="s">
        <v>136</v>
      </c>
    </row>
    <row r="29" spans="1:11" ht="15" thickBot="1" x14ac:dyDescent="0.35">
      <c r="A29" s="15"/>
      <c r="B29" s="15"/>
      <c r="C29" s="16" t="s">
        <v>137</v>
      </c>
      <c r="D29" s="15"/>
      <c r="E29" s="15"/>
      <c r="F29" s="17">
        <f>SUM(F6:F28)</f>
        <v>95</v>
      </c>
      <c r="G29" s="15"/>
      <c r="H29" s="18">
        <f>H6+H7+H10+H12+H14+H16+H17+H19+H23</f>
        <v>49406</v>
      </c>
      <c r="I29" s="15"/>
      <c r="J29" s="23"/>
      <c r="K29" s="1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КП_Фильтры_ИНК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Артем Петров</cp:lastModifiedBy>
  <dcterms:created xsi:type="dcterms:W3CDTF">2026-10-22T17:14:22Z</dcterms:created>
  <dcterms:modified xsi:type="dcterms:W3CDTF">2026-10-22T17:36:30Z</dcterms:modified>
</cp:coreProperties>
</file>