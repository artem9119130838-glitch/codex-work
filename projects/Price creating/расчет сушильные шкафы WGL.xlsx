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сушильные шкафы" sheetId="1" state="visible" r:id="rId1"/>
  </sheets>
  <definedNames>
    <definedName name="ExternalData_1" localSheetId="0" hidden="1">'сушильные шкафы'!$A$1:$N$23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₽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dxfs count="9">
    <dxf>
      <numFmt numFmtId="164" formatCode="#,##0.00\ &quot;₽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сушильные_шкафы" displayName="сушильные_шкафы" ref="A1:N23" tableType="queryTable" headerRowCount="1" totalsRowShown="0">
  <autoFilter ref="A1:N23"/>
  <tableColumns count="14">
    <tableColumn id="1" uniqueName="1" name="Model" queryTableFieldId="1" dataDxfId="8"/>
    <tableColumn id="2" uniqueName="2" name="Volume (L)" queryTableFieldId="2"/>
    <tableColumn id="3" uniqueName="3" name="Temperature Range (°C)" queryTableFieldId="3" dataDxfId="7"/>
    <tableColumn id="4" uniqueName="4" name="Stability (°C)" queryTableFieldId="4" dataDxfId="6"/>
    <tableColumn id="5" uniqueName="5" name="Internal Dims (mm)" queryTableFieldId="5" dataDxfId="5"/>
    <tableColumn id="6" uniqueName="6" name="External Dims (mm)" queryTableFieldId="6" dataDxfId="4"/>
    <tableColumn id="7" uniqueName="7" name="Power (kW)" queryTableFieldId="7" dataDxfId="3"/>
    <tableColumn id="8" uniqueName="8" name="Power Supply" queryTableFieldId="8" dataDxfId="2"/>
    <tableColumn id="9" uniqueName="9" name="Standard Shelves" queryTableFieldId="9"/>
    <tableColumn id="10" uniqueName="10" name="Max Shelves" queryTableFieldId="10"/>
    <tableColumn id="11" uniqueName="11" name="Shelf Load (kg)" queryTableFieldId="11"/>
    <tableColumn id="12" uniqueName="12" name="Net Weight (kg)" queryTableFieldId="12"/>
    <tableColumn id="14" uniqueName="14" name="Price (CNY)" queryTableFieldId="14" dataDxfId="1"/>
    <tableColumn id="15" uniqueName="15" name="Price (RUB)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tabSelected="1" workbookViewId="0">
      <selection activeCell="Q19" sqref="Q19"/>
    </sheetView>
  </sheetViews>
  <sheetFormatPr baseColWidth="8" defaultRowHeight="15"/>
  <cols>
    <col width="10.140625" bestFit="1" customWidth="1" style="1" min="1" max="1"/>
    <col width="13" bestFit="1" customWidth="1" style="1" min="2" max="2"/>
    <col width="24.85546875" bestFit="1" customWidth="1" style="1" min="3" max="3"/>
    <col width="14.28515625" bestFit="1" customWidth="1" style="1" min="4" max="4"/>
    <col width="20.7109375" bestFit="1" customWidth="1" style="1" min="5" max="5"/>
    <col width="21" bestFit="1" customWidth="1" style="1" min="6" max="6"/>
    <col width="13.85546875" bestFit="1" customWidth="1" style="1" min="7" max="7"/>
    <col width="15.5703125" bestFit="1" customWidth="1" style="1" min="8" max="8"/>
    <col width="10" customWidth="1" style="1" min="9" max="9"/>
    <col width="11.42578125" customWidth="1" style="1" min="10" max="10"/>
    <col width="12.85546875" customWidth="1" style="1" min="11" max="11"/>
    <col width="12.42578125" customWidth="1" style="1" min="12" max="12"/>
    <col width="13.28515625" bestFit="1" customWidth="1" style="1" min="13" max="14"/>
  </cols>
  <sheetData>
    <row r="1">
      <c r="A1" t="inlineStr">
        <is>
          <t>Model</t>
        </is>
      </c>
      <c r="B1" t="inlineStr">
        <is>
          <t>Volume (L)</t>
        </is>
      </c>
      <c r="C1" t="inlineStr">
        <is>
          <t>Temperature Range (°C)</t>
        </is>
      </c>
      <c r="D1" t="inlineStr">
        <is>
          <t>Stability (°C)</t>
        </is>
      </c>
      <c r="E1" t="inlineStr">
        <is>
          <t>Internal Dims (mm)</t>
        </is>
      </c>
      <c r="F1" t="inlineStr">
        <is>
          <t>External Dims (mm)</t>
        </is>
      </c>
      <c r="G1" t="inlineStr">
        <is>
          <t>Power (kW)</t>
        </is>
      </c>
      <c r="H1" t="inlineStr">
        <is>
          <t>Power Supply</t>
        </is>
      </c>
      <c r="I1" t="inlineStr">
        <is>
          <t>Standard Shelves</t>
        </is>
      </c>
      <c r="J1" t="inlineStr">
        <is>
          <t>Max Shelves</t>
        </is>
      </c>
      <c r="K1" t="inlineStr">
        <is>
          <t>Shelf Load (kg)</t>
        </is>
      </c>
      <c r="L1" t="inlineStr">
        <is>
          <t>Net Weight (kg)</t>
        </is>
      </c>
      <c r="M1" t="inlineStr">
        <is>
          <t>Price (CNY)</t>
        </is>
      </c>
      <c r="N1" t="inlineStr">
        <is>
          <t>Price (RUB)</t>
        </is>
      </c>
    </row>
    <row r="2">
      <c r="A2" t="inlineStr">
        <is>
          <t>WHL-25AB</t>
        </is>
      </c>
      <c r="B2" t="n">
        <v>18</v>
      </c>
      <c r="C2" t="inlineStr">
        <is>
          <t>RT+10~300</t>
        </is>
      </c>
      <c r="D2" t="inlineStr">
        <is>
          <t>±3.5%</t>
        </is>
      </c>
      <c r="E2" t="inlineStr">
        <is>
          <t>260x260x260</t>
        </is>
      </c>
      <c r="F2" t="inlineStr">
        <is>
          <t>376x464x548</t>
        </is>
      </c>
      <c r="G2" t="inlineStr">
        <is>
          <t>0.6</t>
        </is>
      </c>
      <c r="H2" t="inlineStr">
        <is>
          <t>AC220V/2.7A</t>
        </is>
      </c>
      <c r="I2" t="n">
        <v>2</v>
      </c>
      <c r="J2" t="n">
        <v>6</v>
      </c>
      <c r="K2" t="n">
        <v>15</v>
      </c>
      <c r="L2" t="n">
        <v>21</v>
      </c>
      <c r="M2" t="n">
        <v>990</v>
      </c>
      <c r="N2" s="3">
        <f>(сушильные_шкафы[[#This Row],[Price (CNY)]]+1500)*12*1.22*2</f>
        <v/>
      </c>
    </row>
    <row r="3">
      <c r="A3" t="inlineStr">
        <is>
          <t>WGL-30D</t>
        </is>
      </c>
      <c r="B3" t="n">
        <v>30</v>
      </c>
      <c r="C3" t="inlineStr">
        <is>
          <t>RT+10~300</t>
        </is>
      </c>
      <c r="D3" t="inlineStr">
        <is>
          <t>±2.0%</t>
        </is>
      </c>
      <c r="E3" t="inlineStr">
        <is>
          <t>310x310x310</t>
        </is>
      </c>
      <c r="F3" t="inlineStr">
        <is>
          <t>428x505x710</t>
        </is>
      </c>
      <c r="G3" t="inlineStr">
        <is>
          <t>0.8</t>
        </is>
      </c>
      <c r="H3" t="inlineStr">
        <is>
          <t>AC220V/3.6A</t>
        </is>
      </c>
      <c r="I3" t="n">
        <v>2</v>
      </c>
      <c r="J3" t="n">
        <v>5</v>
      </c>
      <c r="K3" t="n">
        <v>15</v>
      </c>
      <c r="L3" t="n">
        <v>32</v>
      </c>
      <c r="M3" t="n">
        <v>2287.5</v>
      </c>
      <c r="N3" s="3">
        <f>(сушильные_шкафы[[#This Row],[Price (CNY)]]+1500)*12*1.22*2</f>
        <v/>
      </c>
    </row>
    <row r="4">
      <c r="A4" t="inlineStr">
        <is>
          <t>WGL-30L</t>
        </is>
      </c>
      <c r="B4" t="n">
        <v>30</v>
      </c>
      <c r="C4" t="inlineStr">
        <is>
          <t>RT+10~300</t>
        </is>
      </c>
      <c r="D4" t="inlineStr">
        <is>
          <t>±2.0%</t>
        </is>
      </c>
      <c r="E4" t="inlineStr">
        <is>
          <t>310x310x310</t>
        </is>
      </c>
      <c r="F4" t="inlineStr">
        <is>
          <t>428x505x710</t>
        </is>
      </c>
      <c r="G4" t="inlineStr">
        <is>
          <t>0.8</t>
        </is>
      </c>
      <c r="H4" t="inlineStr">
        <is>
          <t>AC220V/3.6A</t>
        </is>
      </c>
      <c r="I4" t="n">
        <v>2</v>
      </c>
      <c r="J4" t="n">
        <v>5</v>
      </c>
      <c r="K4" t="n">
        <v>15</v>
      </c>
      <c r="L4" t="n">
        <v>32</v>
      </c>
      <c r="M4" s="2" t="n">
        <v>2812.5</v>
      </c>
      <c r="N4" s="3">
        <f>(сушильные_шкафы[[#This Row],[Price (CNY)]]+1500)*12*1.22*2</f>
        <v/>
      </c>
    </row>
    <row r="5">
      <c r="A5" t="inlineStr">
        <is>
          <t>WGL-30T</t>
        </is>
      </c>
      <c r="B5" t="n">
        <v>30</v>
      </c>
      <c r="C5" t="inlineStr">
        <is>
          <t>RT+10~300</t>
        </is>
      </c>
      <c r="D5" t="inlineStr">
        <is>
          <t>±2.0%</t>
        </is>
      </c>
      <c r="E5" t="inlineStr">
        <is>
          <t>310x310x310</t>
        </is>
      </c>
      <c r="F5" t="inlineStr">
        <is>
          <t>428x505x710</t>
        </is>
      </c>
      <c r="G5" t="inlineStr">
        <is>
          <t>0.8</t>
        </is>
      </c>
      <c r="H5" t="inlineStr">
        <is>
          <t>AC220V/3.6A</t>
        </is>
      </c>
      <c r="I5" t="n">
        <v>2</v>
      </c>
      <c r="J5" t="n">
        <v>5</v>
      </c>
      <c r="K5" t="n">
        <v>15</v>
      </c>
      <c r="L5" t="n">
        <v>32</v>
      </c>
      <c r="M5" t="n">
        <v>5310</v>
      </c>
      <c r="N5" s="3">
        <f>(сушильные_шкафы[[#This Row],[Price (CNY)]]+1500)*12*1.22*2</f>
        <v/>
      </c>
    </row>
    <row r="6">
      <c r="A6" t="inlineStr">
        <is>
          <t>WGL-45D</t>
        </is>
      </c>
      <c r="B6" t="n">
        <v>45</v>
      </c>
      <c r="C6" t="inlineStr">
        <is>
          <t>RT+10~300</t>
        </is>
      </c>
      <c r="D6" t="inlineStr">
        <is>
          <t>±2.0%</t>
        </is>
      </c>
      <c r="E6" t="inlineStr">
        <is>
          <t>350x350x350</t>
        </is>
      </c>
      <c r="F6" t="inlineStr">
        <is>
          <t>468x538x753</t>
        </is>
      </c>
      <c r="G6" t="inlineStr">
        <is>
          <t>1.2</t>
        </is>
      </c>
      <c r="H6" t="inlineStr">
        <is>
          <t>AC220V/5.5A</t>
        </is>
      </c>
      <c r="I6" t="n">
        <v>2</v>
      </c>
      <c r="J6" t="n">
        <v>6</v>
      </c>
      <c r="K6" t="n">
        <v>15</v>
      </c>
      <c r="L6" t="n">
        <v>37</v>
      </c>
      <c r="M6" s="2" t="n">
        <v>2512.5</v>
      </c>
      <c r="N6" s="3">
        <f>(сушильные_шкафы[[#This Row],[Price (CNY)]]+1500)*12*1.22*2</f>
        <v/>
      </c>
    </row>
    <row r="7">
      <c r="A7" t="inlineStr">
        <is>
          <t>WGL-45L</t>
        </is>
      </c>
      <c r="B7" t="n">
        <v>45</v>
      </c>
      <c r="C7" t="inlineStr">
        <is>
          <t>RT+10~300</t>
        </is>
      </c>
      <c r="D7" t="inlineStr">
        <is>
          <t>±2.0%</t>
        </is>
      </c>
      <c r="E7" t="inlineStr">
        <is>
          <t>350x350x350</t>
        </is>
      </c>
      <c r="F7" t="inlineStr">
        <is>
          <t>468x538x753</t>
        </is>
      </c>
      <c r="G7" t="inlineStr">
        <is>
          <t>1.2</t>
        </is>
      </c>
      <c r="H7" t="inlineStr">
        <is>
          <t>AC220V/5.5A</t>
        </is>
      </c>
      <c r="I7" t="n">
        <v>2</v>
      </c>
      <c r="J7" t="n">
        <v>6</v>
      </c>
      <c r="K7" t="n">
        <v>15</v>
      </c>
      <c r="L7" t="n">
        <v>37</v>
      </c>
      <c r="M7" s="2" t="n">
        <v>3060</v>
      </c>
      <c r="N7" s="3">
        <f>(сушильные_шкафы[[#This Row],[Price (CNY)]]+1500)*12*1.22*2</f>
        <v/>
      </c>
    </row>
    <row r="8">
      <c r="A8" t="inlineStr">
        <is>
          <t>WGL-45T</t>
        </is>
      </c>
      <c r="B8" t="n">
        <v>45</v>
      </c>
      <c r="C8" t="inlineStr">
        <is>
          <t>RT+10~300</t>
        </is>
      </c>
      <c r="D8" t="inlineStr">
        <is>
          <t>±2.0%</t>
        </is>
      </c>
      <c r="E8" t="inlineStr">
        <is>
          <t>350x350x350</t>
        </is>
      </c>
      <c r="F8" t="inlineStr">
        <is>
          <t>468x538x753</t>
        </is>
      </c>
      <c r="G8" t="inlineStr">
        <is>
          <t>1.2</t>
        </is>
      </c>
      <c r="H8" t="inlineStr">
        <is>
          <t>AC220V/5.5A</t>
        </is>
      </c>
      <c r="I8" t="n">
        <v>2</v>
      </c>
      <c r="J8" t="n">
        <v>6</v>
      </c>
      <c r="K8" t="n">
        <v>15</v>
      </c>
      <c r="L8" t="n">
        <v>37</v>
      </c>
      <c r="M8" s="2" t="n">
        <v>5460</v>
      </c>
      <c r="N8" s="3">
        <f>(сушильные_шкафы[[#This Row],[Price (CNY)]]+1500)*12*1.22*2</f>
        <v/>
      </c>
    </row>
    <row r="9">
      <c r="A9" t="inlineStr">
        <is>
          <t>WGL-65D</t>
        </is>
      </c>
      <c r="B9" t="n">
        <v>65</v>
      </c>
      <c r="C9" t="inlineStr">
        <is>
          <t>RT+10~300</t>
        </is>
      </c>
      <c r="D9" t="inlineStr">
        <is>
          <t>±2.0%</t>
        </is>
      </c>
      <c r="E9" t="inlineStr">
        <is>
          <t>400x360x450</t>
        </is>
      </c>
      <c r="F9" t="inlineStr">
        <is>
          <t>518x550x860</t>
        </is>
      </c>
      <c r="G9" t="inlineStr">
        <is>
          <t>1.6</t>
        </is>
      </c>
      <c r="H9" t="inlineStr">
        <is>
          <t>AC220V/7.2A</t>
        </is>
      </c>
      <c r="I9" t="n">
        <v>2</v>
      </c>
      <c r="J9" t="n">
        <v>8</v>
      </c>
      <c r="K9" t="n">
        <v>15</v>
      </c>
      <c r="L9" t="n">
        <v>43</v>
      </c>
      <c r="M9" s="2" t="n">
        <v>2850</v>
      </c>
      <c r="N9" s="3">
        <f>(сушильные_шкафы[[#This Row],[Price (CNY)]]+1500)*12*1.22*2</f>
        <v/>
      </c>
    </row>
    <row r="10">
      <c r="A10" t="inlineStr">
        <is>
          <t>WGL-65L</t>
        </is>
      </c>
      <c r="B10" t="n">
        <v>65</v>
      </c>
      <c r="C10" t="inlineStr">
        <is>
          <t>RT+10~300</t>
        </is>
      </c>
      <c r="D10" t="inlineStr">
        <is>
          <t>±2.0%</t>
        </is>
      </c>
      <c r="E10" t="inlineStr">
        <is>
          <t>400x360x450</t>
        </is>
      </c>
      <c r="F10" t="inlineStr">
        <is>
          <t>518x550x860</t>
        </is>
      </c>
      <c r="G10" t="inlineStr">
        <is>
          <t>1.6</t>
        </is>
      </c>
      <c r="H10" t="inlineStr">
        <is>
          <t>AC220V/7.2A</t>
        </is>
      </c>
      <c r="I10" t="n">
        <v>2</v>
      </c>
      <c r="J10" t="n">
        <v>8</v>
      </c>
      <c r="K10" t="n">
        <v>15</v>
      </c>
      <c r="L10" t="n">
        <v>43</v>
      </c>
      <c r="M10" s="2" t="n">
        <v>3270</v>
      </c>
      <c r="N10" s="3">
        <f>(сушильные_шкафы[[#This Row],[Price (CNY)]]+1500)*12*1.22*2</f>
        <v/>
      </c>
    </row>
    <row r="11">
      <c r="A11" t="inlineStr">
        <is>
          <t>WGL-65T</t>
        </is>
      </c>
      <c r="B11" t="n">
        <v>65</v>
      </c>
      <c r="C11" t="inlineStr">
        <is>
          <t>RT+10~300</t>
        </is>
      </c>
      <c r="D11" t="inlineStr">
        <is>
          <t>±2.0%</t>
        </is>
      </c>
      <c r="E11" t="inlineStr">
        <is>
          <t>400x360x450</t>
        </is>
      </c>
      <c r="F11" t="inlineStr">
        <is>
          <t>518x550x860</t>
        </is>
      </c>
      <c r="G11" t="inlineStr">
        <is>
          <t>1.6</t>
        </is>
      </c>
      <c r="H11" t="inlineStr">
        <is>
          <t>AC220V/7.2A</t>
        </is>
      </c>
      <c r="I11" t="n">
        <v>2</v>
      </c>
      <c r="J11" t="n">
        <v>8</v>
      </c>
      <c r="K11" t="n">
        <v>15</v>
      </c>
      <c r="L11" t="n">
        <v>43</v>
      </c>
      <c r="M11" s="2" t="n">
        <v>5775</v>
      </c>
      <c r="N11" s="3">
        <f>(сушильные_шкафы[[#This Row],[Price (CNY)]]+1500)*12*1.22*2</f>
        <v/>
      </c>
    </row>
    <row r="12">
      <c r="A12" t="inlineStr">
        <is>
          <t>WGL-85D</t>
        </is>
      </c>
      <c r="B12" t="n">
        <v>85</v>
      </c>
      <c r="C12" t="inlineStr">
        <is>
          <t>RT+10~300</t>
        </is>
      </c>
      <c r="D12" t="inlineStr">
        <is>
          <t>±2.0%</t>
        </is>
      </c>
      <c r="E12" t="inlineStr">
        <is>
          <t>420x450x450</t>
        </is>
      </c>
      <c r="F12" t="inlineStr">
        <is>
          <t>567x640x853</t>
        </is>
      </c>
      <c r="G12" t="inlineStr">
        <is>
          <t>1.8</t>
        </is>
      </c>
      <c r="H12" t="inlineStr">
        <is>
          <t>AC220V/8.2A</t>
        </is>
      </c>
      <c r="I12" t="n">
        <v>2</v>
      </c>
      <c r="J12" t="n">
        <v>8</v>
      </c>
      <c r="K12" t="n">
        <v>15</v>
      </c>
      <c r="L12" t="n">
        <v>50</v>
      </c>
      <c r="M12" t="n">
        <v>3210</v>
      </c>
      <c r="N12" s="3">
        <f>(сушильные_шкафы[[#This Row],[Price (CNY)]]+1500)*12*1.22*2</f>
        <v/>
      </c>
    </row>
    <row r="13">
      <c r="A13" t="inlineStr">
        <is>
          <t>WGL-85L</t>
        </is>
      </c>
      <c r="B13" t="n">
        <v>85</v>
      </c>
      <c r="C13" t="inlineStr">
        <is>
          <t>RT+10~300</t>
        </is>
      </c>
      <c r="D13" t="inlineStr">
        <is>
          <t>±2.0%</t>
        </is>
      </c>
      <c r="E13" t="inlineStr">
        <is>
          <t>420x450x450</t>
        </is>
      </c>
      <c r="F13" t="inlineStr">
        <is>
          <t>567x640x853</t>
        </is>
      </c>
      <c r="G13" t="inlineStr">
        <is>
          <t>1.8</t>
        </is>
      </c>
      <c r="H13" t="inlineStr">
        <is>
          <t>AC220V/8.2A</t>
        </is>
      </c>
      <c r="I13" t="n">
        <v>2</v>
      </c>
      <c r="J13" t="n">
        <v>8</v>
      </c>
      <c r="K13" t="n">
        <v>15</v>
      </c>
      <c r="L13" t="n">
        <v>50</v>
      </c>
      <c r="M13" t="n">
        <v>3712.5</v>
      </c>
      <c r="N13" s="3">
        <f>(сушильные_шкафы[[#This Row],[Price (CNY)]]+1500)*12*1.22*2</f>
        <v/>
      </c>
    </row>
    <row r="14">
      <c r="A14" t="inlineStr">
        <is>
          <t>WGL-85T</t>
        </is>
      </c>
      <c r="B14" t="n">
        <v>85</v>
      </c>
      <c r="C14" t="inlineStr">
        <is>
          <t>RT+10~300</t>
        </is>
      </c>
      <c r="D14" t="inlineStr">
        <is>
          <t>±2.0%</t>
        </is>
      </c>
      <c r="E14" t="inlineStr">
        <is>
          <t>420x450x450</t>
        </is>
      </c>
      <c r="F14" t="inlineStr">
        <is>
          <t>567x640x853</t>
        </is>
      </c>
      <c r="G14" t="inlineStr">
        <is>
          <t>1.8</t>
        </is>
      </c>
      <c r="H14" t="inlineStr">
        <is>
          <t>AC220V/8.2A</t>
        </is>
      </c>
      <c r="I14" t="n">
        <v>2</v>
      </c>
      <c r="J14" t="n">
        <v>8</v>
      </c>
      <c r="K14" t="n">
        <v>15</v>
      </c>
      <c r="L14" t="n">
        <v>50</v>
      </c>
      <c r="M14" s="2" t="n">
        <v>6259.5</v>
      </c>
      <c r="N14" s="3">
        <f>(сушильные_шкафы[[#This Row],[Price (CNY)]]+1500)*12*1.22*2</f>
        <v/>
      </c>
    </row>
    <row r="15">
      <c r="A15" t="inlineStr">
        <is>
          <t>WGL-125D</t>
        </is>
      </c>
      <c r="B15" t="n">
        <v>125</v>
      </c>
      <c r="C15" t="inlineStr">
        <is>
          <t>RT+10~300</t>
        </is>
      </c>
      <c r="D15" t="inlineStr">
        <is>
          <t>±2.0%</t>
        </is>
      </c>
      <c r="E15" t="inlineStr">
        <is>
          <t>500x450x550</t>
        </is>
      </c>
      <c r="F15" t="inlineStr">
        <is>
          <t>617x639x953</t>
        </is>
      </c>
      <c r="G15" t="inlineStr">
        <is>
          <t>2.3</t>
        </is>
      </c>
      <c r="H15" t="inlineStr">
        <is>
          <t>AC220V/10.5A</t>
        </is>
      </c>
      <c r="I15" t="n">
        <v>2</v>
      </c>
      <c r="J15" t="n">
        <v>11</v>
      </c>
      <c r="K15" t="n">
        <v>15</v>
      </c>
      <c r="L15" t="n">
        <v>60</v>
      </c>
      <c r="M15" t="n">
        <v>3600</v>
      </c>
      <c r="N15" s="3">
        <f>(сушильные_шкафы[[#This Row],[Price (CNY)]]+1500)*12*1.22*2</f>
        <v/>
      </c>
    </row>
    <row r="16">
      <c r="A16" t="inlineStr">
        <is>
          <t>WGL-125L</t>
        </is>
      </c>
      <c r="B16" t="n">
        <v>125</v>
      </c>
      <c r="C16" t="inlineStr">
        <is>
          <t>RT+10~300</t>
        </is>
      </c>
      <c r="D16" t="inlineStr">
        <is>
          <t>±2.0%</t>
        </is>
      </c>
      <c r="E16" t="inlineStr">
        <is>
          <t>500x450x550</t>
        </is>
      </c>
      <c r="F16" t="inlineStr">
        <is>
          <t>617x639x953</t>
        </is>
      </c>
      <c r="G16" t="inlineStr">
        <is>
          <t>2.3</t>
        </is>
      </c>
      <c r="H16" t="inlineStr">
        <is>
          <t>AC220V/10.5A</t>
        </is>
      </c>
      <c r="I16" t="n">
        <v>2</v>
      </c>
      <c r="J16" t="n">
        <v>11</v>
      </c>
      <c r="K16" t="n">
        <v>15</v>
      </c>
      <c r="L16" t="n">
        <v>60</v>
      </c>
      <c r="M16" s="2" t="n">
        <v>4087.5</v>
      </c>
      <c r="N16" s="3">
        <f>(сушильные_шкафы[[#This Row],[Price (CNY)]]+1500)*12*1.22*2</f>
        <v/>
      </c>
    </row>
    <row r="17">
      <c r="A17" t="inlineStr">
        <is>
          <t>WGL-125T</t>
        </is>
      </c>
      <c r="B17" t="n">
        <v>125</v>
      </c>
      <c r="C17" t="inlineStr">
        <is>
          <t>RT+10~300</t>
        </is>
      </c>
      <c r="D17" t="inlineStr">
        <is>
          <t>±2.0%</t>
        </is>
      </c>
      <c r="E17" t="inlineStr">
        <is>
          <t>500x450x550</t>
        </is>
      </c>
      <c r="F17" t="inlineStr">
        <is>
          <t>617x639x953</t>
        </is>
      </c>
      <c r="G17" t="inlineStr">
        <is>
          <t>2.3</t>
        </is>
      </c>
      <c r="H17" t="inlineStr">
        <is>
          <t>AC220V/10.5A</t>
        </is>
      </c>
      <c r="I17" t="n">
        <v>2</v>
      </c>
      <c r="J17" t="n">
        <v>11</v>
      </c>
      <c r="K17" t="n">
        <v>15</v>
      </c>
      <c r="L17" t="n">
        <v>60</v>
      </c>
      <c r="M17" s="2" t="n">
        <v>6825</v>
      </c>
      <c r="N17" s="3">
        <f>(сушильные_шкафы[[#This Row],[Price (CNY)]]+1500)*12*1.22*2</f>
        <v/>
      </c>
    </row>
    <row r="18">
      <c r="A18" t="inlineStr">
        <is>
          <t>WGL-230D</t>
        </is>
      </c>
      <c r="B18" t="n">
        <v>230</v>
      </c>
      <c r="C18" t="inlineStr">
        <is>
          <t>RT+10~300</t>
        </is>
      </c>
      <c r="D18" t="inlineStr">
        <is>
          <t>±2.0%</t>
        </is>
      </c>
      <c r="E18" t="inlineStr">
        <is>
          <t>600x500x750</t>
        </is>
      </c>
      <c r="F18" t="inlineStr">
        <is>
          <t>735x700x1220</t>
        </is>
      </c>
      <c r="G18" t="inlineStr">
        <is>
          <t>3.0</t>
        </is>
      </c>
      <c r="H18" t="inlineStr">
        <is>
          <t>AC220V/13.6A</t>
        </is>
      </c>
      <c r="I18" t="n">
        <v>2</v>
      </c>
      <c r="J18" t="n">
        <v>17</v>
      </c>
      <c r="K18" t="n">
        <v>15</v>
      </c>
      <c r="L18" t="n">
        <v>84</v>
      </c>
      <c r="M18" t="n">
        <v>5100</v>
      </c>
      <c r="N18" s="3">
        <f>(сушильные_шкафы[[#This Row],[Price (CNY)]]+1500)*12*1.22*2</f>
        <v/>
      </c>
    </row>
    <row r="19">
      <c r="A19" t="inlineStr">
        <is>
          <t>WGL-230L</t>
        </is>
      </c>
      <c r="B19" t="n">
        <v>230</v>
      </c>
      <c r="C19" t="inlineStr">
        <is>
          <t>RT+10~300</t>
        </is>
      </c>
      <c r="D19" t="inlineStr">
        <is>
          <t>±2.0%</t>
        </is>
      </c>
      <c r="E19" t="inlineStr">
        <is>
          <t>600x500x750</t>
        </is>
      </c>
      <c r="F19" t="inlineStr">
        <is>
          <t>735x700x1220</t>
        </is>
      </c>
      <c r="G19" t="inlineStr">
        <is>
          <t>3.0</t>
        </is>
      </c>
      <c r="H19" t="inlineStr">
        <is>
          <t>AC220V/13.6A</t>
        </is>
      </c>
      <c r="I19" t="n">
        <v>2</v>
      </c>
      <c r="J19" t="n">
        <v>17</v>
      </c>
      <c r="K19" t="n">
        <v>15</v>
      </c>
      <c r="L19" t="n">
        <v>84</v>
      </c>
      <c r="M19" s="2" t="n">
        <v>5512.5</v>
      </c>
      <c r="N19" s="3">
        <f>(сушильные_шкафы[[#This Row],[Price (CNY)]]+1500)*12*1.22*2</f>
        <v/>
      </c>
    </row>
    <row r="20">
      <c r="A20" t="inlineStr">
        <is>
          <t>WGL-230T</t>
        </is>
      </c>
      <c r="B20" t="n">
        <v>230</v>
      </c>
      <c r="C20" t="inlineStr">
        <is>
          <t>RT+10~300</t>
        </is>
      </c>
      <c r="D20" t="inlineStr">
        <is>
          <t>±2.0%</t>
        </is>
      </c>
      <c r="E20" t="inlineStr">
        <is>
          <t>600x500x750</t>
        </is>
      </c>
      <c r="F20" t="inlineStr">
        <is>
          <t>735x700x1220</t>
        </is>
      </c>
      <c r="G20" t="inlineStr">
        <is>
          <t>3.0</t>
        </is>
      </c>
      <c r="H20" t="inlineStr">
        <is>
          <t>AC220V/13.6A</t>
        </is>
      </c>
      <c r="I20" t="n">
        <v>2</v>
      </c>
      <c r="J20" t="n">
        <v>17</v>
      </c>
      <c r="K20" t="n">
        <v>15</v>
      </c>
      <c r="L20" t="n">
        <v>84</v>
      </c>
      <c r="M20" s="2" t="n">
        <v>7875</v>
      </c>
      <c r="N20" s="3">
        <f>(сушильные_шкафы[[#This Row],[Price (CNY)]]+1500)*12*1.22*2</f>
        <v/>
      </c>
    </row>
    <row r="21">
      <c r="A21" t="inlineStr">
        <is>
          <t>WGL-625D</t>
        </is>
      </c>
      <c r="B21" t="n">
        <v>625</v>
      </c>
      <c r="C21" t="inlineStr">
        <is>
          <t>RT+10~300</t>
        </is>
      </c>
      <c r="D21" t="inlineStr">
        <is>
          <t>±2.0%</t>
        </is>
      </c>
      <c r="E21" t="inlineStr">
        <is>
          <t>660x760x1250</t>
        </is>
      </c>
      <c r="F21" t="inlineStr">
        <is>
          <t>900x960x1840</t>
        </is>
      </c>
      <c r="G21" t="inlineStr">
        <is>
          <t>5.0</t>
        </is>
      </c>
      <c r="H21" t="inlineStr">
        <is>
          <t>AC220V/22.7A</t>
        </is>
      </c>
      <c r="I21" t="n">
        <v>2</v>
      </c>
      <c r="J21" t="n">
        <v>7</v>
      </c>
      <c r="K21" t="n">
        <v>15</v>
      </c>
      <c r="L21" t="n">
        <v>113</v>
      </c>
      <c r="M21" t="n">
        <v>12375</v>
      </c>
      <c r="N21" s="3">
        <f>(сушильные_шкафы[[#This Row],[Price (CNY)]]+1500)*12*1.22*2</f>
        <v/>
      </c>
    </row>
    <row r="22">
      <c r="A22" t="inlineStr">
        <is>
          <t>WGL-625L</t>
        </is>
      </c>
      <c r="B22" t="n">
        <v>625</v>
      </c>
      <c r="C22" t="inlineStr">
        <is>
          <t>RT+10~300</t>
        </is>
      </c>
      <c r="D22" t="inlineStr">
        <is>
          <t>±2.0%</t>
        </is>
      </c>
      <c r="E22" t="inlineStr">
        <is>
          <t>660x760x1250</t>
        </is>
      </c>
      <c r="F22" t="inlineStr">
        <is>
          <t>900x960x1840</t>
        </is>
      </c>
      <c r="G22" t="inlineStr">
        <is>
          <t>5.0</t>
        </is>
      </c>
      <c r="H22" t="inlineStr">
        <is>
          <t>AC220V/22.7A</t>
        </is>
      </c>
      <c r="I22" t="n">
        <v>2</v>
      </c>
      <c r="J22" t="n">
        <v>7</v>
      </c>
      <c r="K22" t="n">
        <v>15</v>
      </c>
      <c r="L22" t="n">
        <v>113</v>
      </c>
      <c r="M22" s="2" t="n">
        <v>13200</v>
      </c>
      <c r="N22" s="3">
        <f>(сушильные_шкафы[[#This Row],[Price (CNY)]]+1500)*12*1.22*2</f>
        <v/>
      </c>
    </row>
    <row r="23">
      <c r="A23" t="inlineStr">
        <is>
          <t>WGL-625T</t>
        </is>
      </c>
      <c r="B23" t="n">
        <v>625</v>
      </c>
      <c r="C23" t="inlineStr">
        <is>
          <t>RT+10~300</t>
        </is>
      </c>
      <c r="D23" t="inlineStr">
        <is>
          <t>±2.0%</t>
        </is>
      </c>
      <c r="E23" t="inlineStr">
        <is>
          <t>660x760x1250</t>
        </is>
      </c>
      <c r="F23" t="inlineStr">
        <is>
          <t>900x960x1840</t>
        </is>
      </c>
      <c r="G23" t="inlineStr">
        <is>
          <t>5.0</t>
        </is>
      </c>
      <c r="H23" t="inlineStr">
        <is>
          <t>AC220V/22.7A</t>
        </is>
      </c>
      <c r="I23" t="n">
        <v>2</v>
      </c>
      <c r="J23" t="n">
        <v>7</v>
      </c>
      <c r="K23" t="n">
        <v>15</v>
      </c>
      <c r="L23" t="n">
        <v>113</v>
      </c>
      <c r="M23" s="2" t="n">
        <v>15900</v>
      </c>
      <c r="N23" s="3">
        <f>(сушильные_шкафы[[#This Row],[Price (CNY)]]+1500)*12*1.22*2</f>
        <v/>
      </c>
    </row>
  </sheetData>
  <pageMargins left="0.7" right="0.7" top="0.75" bottom="0.75" header="0.3" footer="0.3"/>
  <pageSetup orientation="portrait" horizontalDpi="1200" verticalDpi="1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Artem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2026-07-09T09:21:40Z</dcterms:modified>
  <cp:lastModifiedBy>Артем Петров</cp:lastModifiedBy>
</cp:coreProperties>
</file>